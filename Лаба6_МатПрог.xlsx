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БГУИР/"/>
    </mc:Choice>
  </mc:AlternateContent>
  <xr:revisionPtr revIDLastSave="0" documentId="8_{574FE04C-D461-8742-9FFD-7A1A38774403}" xr6:coauthVersionLast="47" xr6:coauthVersionMax="47" xr10:uidLastSave="{00000000-0000-0000-0000-000000000000}"/>
  <bookViews>
    <workbookView xWindow="1000" yWindow="920" windowWidth="28240" windowHeight="17020" xr2:uid="{EE7BA348-9FA0-214A-B90A-35A3B9AB0708}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solver_adj" localSheetId="0" hidden="1">Лист1!$C$3:$E$6</definedName>
    <definedName name="solver_adj" localSheetId="1" hidden="1">Лист2!$C$3:$E$5</definedName>
    <definedName name="solver_adj" localSheetId="2" hidden="1">Лист3!$B$10:$E$13</definedName>
    <definedName name="solver_adj" localSheetId="3" hidden="1">Лист4!$B$11:$E$14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Лист1!$C$7:$E$7</definedName>
    <definedName name="solver_lhs1" localSheetId="1" hidden="1">Лист2!$C$7:$E$7</definedName>
    <definedName name="solver_lhs1" localSheetId="2" hidden="1">Лист3!$B$14:$E$14</definedName>
    <definedName name="solver_lhs1" localSheetId="3" hidden="1">Лист4!$B$15:$E$15</definedName>
    <definedName name="solver_lhs2" localSheetId="0" hidden="1">Лист1!$F$3:$F$6</definedName>
    <definedName name="solver_lhs2" localSheetId="1" hidden="1">Лист2!$F$3:$F$5</definedName>
    <definedName name="solver_lhs2" localSheetId="2" hidden="1">Лист3!$F$10:$F$13</definedName>
    <definedName name="solver_lhs2" localSheetId="3" hidden="1">Лист4!$F$11:$F$14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opt" localSheetId="0" hidden="1">Лист1!$H$9</definedName>
    <definedName name="solver_opt" localSheetId="1" hidden="1">Лист2!$H$9</definedName>
    <definedName name="solver_opt" localSheetId="2" hidden="1">Лист3!$H$16</definedName>
    <definedName name="solver_opt" localSheetId="3" hidden="1">Лист4!$H$17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0" hidden="1">1</definedName>
    <definedName name="solver_rel2" localSheetId="1" hidden="1">1</definedName>
    <definedName name="solver_rel2" localSheetId="2" hidden="1">2</definedName>
    <definedName name="solver_rel2" localSheetId="3" hidden="1">2</definedName>
    <definedName name="solver_rhs1" localSheetId="0" hidden="1">Лист1!$C$9:$E$9</definedName>
    <definedName name="solver_rhs1" localSheetId="1" hidden="1">Лист2!$C$9:$E$9</definedName>
    <definedName name="solver_rhs1" localSheetId="2" hidden="1">Лист3!$B$16:$E$16</definedName>
    <definedName name="solver_rhs1" localSheetId="3" hidden="1">Лист4!$B$17:$E$17</definedName>
    <definedName name="solver_rhs2" localSheetId="0" hidden="1">Лист1!$H$3:$H$6</definedName>
    <definedName name="solver_rhs2" localSheetId="1" hidden="1">Лист2!$H$3:$H$5</definedName>
    <definedName name="solver_rhs2" localSheetId="2" hidden="1">Лист3!$H$10:$H$13</definedName>
    <definedName name="solver_rhs2" localSheetId="3" hidden="1">Лист4!$H$11:$H$14</definedName>
    <definedName name="solver_rlx" localSheetId="0" hidden="1">2</definedName>
    <definedName name="solver_rlx" localSheetId="1" hidden="1">2</definedName>
    <definedName name="solver_rlx" localSheetId="2" hidden="1">1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2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E15" i="4"/>
  <c r="D15" i="4"/>
  <c r="C15" i="4"/>
  <c r="B15" i="4"/>
  <c r="F14" i="4"/>
  <c r="F13" i="4"/>
  <c r="F12" i="4"/>
  <c r="F11" i="4"/>
  <c r="C14" i="3"/>
  <c r="D14" i="3"/>
  <c r="E14" i="3"/>
  <c r="B14" i="3"/>
  <c r="F11" i="3"/>
  <c r="F12" i="3"/>
  <c r="F13" i="3"/>
  <c r="F10" i="3"/>
  <c r="H16" i="3"/>
  <c r="I5" i="2"/>
  <c r="I4" i="2"/>
  <c r="I3" i="2"/>
  <c r="E10" i="2"/>
  <c r="D10" i="2"/>
  <c r="C10" i="2"/>
  <c r="D10" i="1"/>
  <c r="E10" i="1"/>
  <c r="C10" i="1"/>
  <c r="I4" i="1"/>
  <c r="I5" i="1"/>
  <c r="I6" i="1"/>
  <c r="I3" i="1"/>
  <c r="F9" i="2"/>
  <c r="H7" i="2"/>
  <c r="H9" i="2"/>
  <c r="D7" i="2"/>
  <c r="E7" i="2"/>
  <c r="C7" i="2"/>
  <c r="C7" i="1"/>
  <c r="F4" i="2"/>
  <c r="F5" i="2"/>
  <c r="F3" i="2"/>
  <c r="F3" i="1"/>
  <c r="D7" i="1"/>
  <c r="E7" i="1"/>
  <c r="F6" i="1"/>
  <c r="F5" i="1"/>
  <c r="F4" i="1"/>
  <c r="H7" i="1"/>
  <c r="F9" i="1"/>
  <c r="H9" i="1"/>
</calcChain>
</file>

<file path=xl/sharedStrings.xml><?xml version="1.0" encoding="utf-8"?>
<sst xmlns="http://schemas.openxmlformats.org/spreadsheetml/2006/main" count="115" uniqueCount="30">
  <si>
    <t>Премечания</t>
  </si>
  <si>
    <t>B1</t>
  </si>
  <si>
    <t>B2</t>
  </si>
  <si>
    <t>B3</t>
  </si>
  <si>
    <t>A1</t>
  </si>
  <si>
    <t>A2</t>
  </si>
  <si>
    <t>A3</t>
  </si>
  <si>
    <t>Лев. часть</t>
  </si>
  <si>
    <t>Знаки</t>
  </si>
  <si>
    <t xml:space="preserve">Ограничения </t>
  </si>
  <si>
    <t>Ограничения</t>
  </si>
  <si>
    <t>Предложение</t>
  </si>
  <si>
    <t>Прав. Часть</t>
  </si>
  <si>
    <t>Спрос</t>
  </si>
  <si>
    <t>ц.ф</t>
  </si>
  <si>
    <t>тарифы</t>
  </si>
  <si>
    <t>A4</t>
  </si>
  <si>
    <t>Лев. Часть</t>
  </si>
  <si>
    <t>=</t>
  </si>
  <si>
    <t>&lt;=</t>
  </si>
  <si>
    <t>Невывезенный груз</t>
  </si>
  <si>
    <t>Неудовлетворённый спрос</t>
  </si>
  <si>
    <t>И.1</t>
  </si>
  <si>
    <t>И.2</t>
  </si>
  <si>
    <t>И.3</t>
  </si>
  <si>
    <t>И.4</t>
  </si>
  <si>
    <t>Р.1</t>
  </si>
  <si>
    <t>Р.2</t>
  </si>
  <si>
    <t>Р.3</t>
  </si>
  <si>
    <t>Р.4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</si>
</sst>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436880</xdr:colOff>
      <xdr:row>0</xdr:row>
      <xdr:rowOff>142240</xdr:rowOff>
    </xdr:from>
    <xdr:to>
      <xdr:col>16</xdr:col>
      <xdr:colOff>474980</xdr:colOff>
      <xdr:row>13</xdr:row>
      <xdr:rowOff>180340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282D45-8CA7-AAA3-9013-C3F8BC08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0880" y="142240"/>
          <a:ext cx="4152900" cy="267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</xdr:colOff>
      <xdr:row>1</xdr:row>
      <xdr:rowOff>88900</xdr:rowOff>
    </xdr:from>
    <xdr:to>
      <xdr:col>14</xdr:col>
      <xdr:colOff>139700</xdr:colOff>
      <xdr:row>11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70EADC1-5552-6C45-1D27-DD34B37BA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1200" y="292100"/>
          <a:ext cx="3365500" cy="198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13</xdr:col>
      <xdr:colOff>50800</xdr:colOff>
      <xdr:row>9</xdr:row>
      <xdr:rowOff>12700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CC3FB9E-1248-5A9A-EB97-E6E73692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0"/>
          <a:ext cx="3238500" cy="184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660400</xdr:colOff>
      <xdr:row>3</xdr:row>
      <xdr:rowOff>63500</xdr:rowOff>
    </xdr:from>
    <xdr:to>
      <xdr:col>12</xdr:col>
      <xdr:colOff>482600</xdr:colOff>
      <xdr:row>12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F5F16FE-DDDB-2828-329F-B4E5D15A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4400" y="673100"/>
          <a:ext cx="3124200" cy="180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9A5-E7E4-384F-B821-4C386322E0C6}">
  <dimension ref="A1:I18"/>
  <sheetViews>
    <sheetView tabSelected="1" workbookViewId="0">
      <selection activeCell="K6" sqref="K6"/>
    </sheetView>
  </sheetViews>
  <sheetFormatPr baseColWidth="10" defaultRowHeight="16" x14ac:dyDescent="0.2"/>
  <cols>
    <col min="1" max="1" width="15.6640625" customWidth="1"/>
    <col min="2" max="2" width="26" customWidth="1"/>
    <col min="6" max="6" width="13.1640625" customWidth="1"/>
    <col min="8" max="8" width="16" customWidth="1"/>
    <col min="9" max="9" width="17.83203125" customWidth="1"/>
  </cols>
  <sheetData>
    <row r="1" spans="1:9" x14ac:dyDescent="0.2">
      <c r="A1" s="2"/>
      <c r="B1" s="2" t="s">
        <v>0</v>
      </c>
      <c r="C1" s="2"/>
      <c r="D1" s="2"/>
      <c r="E1" s="2"/>
      <c r="F1" s="4" t="s">
        <v>10</v>
      </c>
      <c r="G1" s="4"/>
      <c r="H1" s="2" t="s">
        <v>11</v>
      </c>
      <c r="I1" s="2"/>
    </row>
    <row r="2" spans="1:9" x14ac:dyDescent="0.2">
      <c r="A2" s="2"/>
      <c r="B2" s="2"/>
      <c r="C2" s="2" t="s">
        <v>1</v>
      </c>
      <c r="D2" s="2" t="s">
        <v>2</v>
      </c>
      <c r="E2" s="2" t="s">
        <v>3</v>
      </c>
      <c r="F2" s="2" t="s">
        <v>7</v>
      </c>
      <c r="G2" s="2" t="s">
        <v>8</v>
      </c>
      <c r="H2" s="2" t="s">
        <v>12</v>
      </c>
      <c r="I2" s="2" t="s">
        <v>20</v>
      </c>
    </row>
    <row r="3" spans="1:9" x14ac:dyDescent="0.2">
      <c r="A3" s="2"/>
      <c r="B3" s="2" t="s">
        <v>4</v>
      </c>
      <c r="C3" s="5">
        <v>50</v>
      </c>
      <c r="D3" s="5">
        <v>0</v>
      </c>
      <c r="E3" s="5">
        <v>0</v>
      </c>
      <c r="F3" s="6">
        <f>SUM(C3:E3)</f>
        <v>50</v>
      </c>
      <c r="G3" s="2" t="s">
        <v>19</v>
      </c>
      <c r="H3" s="7">
        <v>50</v>
      </c>
      <c r="I3" s="2">
        <f>H3-F3</f>
        <v>0</v>
      </c>
    </row>
    <row r="4" spans="1:9" x14ac:dyDescent="0.2">
      <c r="A4" s="2"/>
      <c r="B4" s="2" t="s">
        <v>5</v>
      </c>
      <c r="C4" s="5">
        <v>0</v>
      </c>
      <c r="D4" s="5">
        <v>60</v>
      </c>
      <c r="E4" s="5">
        <v>26</v>
      </c>
      <c r="F4" s="6">
        <f>SUM(C4:E4)</f>
        <v>86</v>
      </c>
      <c r="G4" s="2" t="s">
        <v>19</v>
      </c>
      <c r="H4" s="7">
        <v>86</v>
      </c>
      <c r="I4" s="2">
        <f t="shared" ref="I4:I6" si="0">H4-F4</f>
        <v>0</v>
      </c>
    </row>
    <row r="5" spans="1:9" x14ac:dyDescent="0.2">
      <c r="A5" s="2"/>
      <c r="B5" s="2" t="s">
        <v>6</v>
      </c>
      <c r="C5" s="5">
        <v>54</v>
      </c>
      <c r="D5" s="5">
        <v>72</v>
      </c>
      <c r="E5" s="5">
        <v>0</v>
      </c>
      <c r="F5" s="6">
        <f>SUM(C5:E5)</f>
        <v>126</v>
      </c>
      <c r="G5" s="2" t="s">
        <v>19</v>
      </c>
      <c r="H5" s="7">
        <v>166</v>
      </c>
      <c r="I5" s="2">
        <f t="shared" si="0"/>
        <v>40</v>
      </c>
    </row>
    <row r="6" spans="1:9" x14ac:dyDescent="0.2">
      <c r="A6" s="2"/>
      <c r="B6" s="2" t="s">
        <v>16</v>
      </c>
      <c r="C6" s="5">
        <v>37</v>
      </c>
      <c r="D6" s="5">
        <v>0</v>
      </c>
      <c r="E6" s="5">
        <v>0</v>
      </c>
      <c r="F6" s="6">
        <f>SUM(C6:E6)</f>
        <v>37</v>
      </c>
      <c r="G6" s="2" t="s">
        <v>19</v>
      </c>
      <c r="H6" s="7">
        <v>37</v>
      </c>
      <c r="I6" s="2">
        <f t="shared" si="0"/>
        <v>0</v>
      </c>
    </row>
    <row r="7" spans="1:9" x14ac:dyDescent="0.2">
      <c r="A7" s="2" t="s">
        <v>9</v>
      </c>
      <c r="B7" s="2" t="s">
        <v>17</v>
      </c>
      <c r="C7" s="6">
        <f>SUM(C3:C6)</f>
        <v>141</v>
      </c>
      <c r="D7" s="6">
        <f t="shared" ref="D7:E7" si="1">SUM(D3:D6)</f>
        <v>132</v>
      </c>
      <c r="E7" s="6">
        <f t="shared" si="1"/>
        <v>26</v>
      </c>
      <c r="F7" s="6"/>
      <c r="G7" s="2"/>
      <c r="H7" s="8">
        <f>SUM(H3:H6)</f>
        <v>339</v>
      </c>
      <c r="I7" s="1"/>
    </row>
    <row r="8" spans="1:9" x14ac:dyDescent="0.2">
      <c r="A8" s="2"/>
      <c r="B8" s="2" t="s">
        <v>8</v>
      </c>
      <c r="C8" s="2" t="s">
        <v>18</v>
      </c>
      <c r="D8" s="2" t="s">
        <v>18</v>
      </c>
      <c r="E8" s="2" t="s">
        <v>18</v>
      </c>
      <c r="F8" s="2"/>
      <c r="G8" s="2"/>
      <c r="H8" s="2" t="s">
        <v>14</v>
      </c>
      <c r="I8" s="1"/>
    </row>
    <row r="9" spans="1:9" x14ac:dyDescent="0.2">
      <c r="A9" s="2" t="s">
        <v>13</v>
      </c>
      <c r="B9" s="2" t="s">
        <v>12</v>
      </c>
      <c r="C9" s="7">
        <v>141</v>
      </c>
      <c r="D9" s="7">
        <v>132</v>
      </c>
      <c r="E9" s="7">
        <v>26</v>
      </c>
      <c r="F9" s="9">
        <f>SUM(C9:E9)</f>
        <v>299</v>
      </c>
      <c r="G9" s="2"/>
      <c r="H9" s="10">
        <f>SUMPRODUCT(C3:E6,C15:E18)</f>
        <v>961</v>
      </c>
      <c r="I9" s="1"/>
    </row>
    <row r="10" spans="1:9" x14ac:dyDescent="0.2">
      <c r="A10" s="2"/>
      <c r="B10" s="2" t="s">
        <v>21</v>
      </c>
      <c r="C10" s="2">
        <f>C9-C7</f>
        <v>0</v>
      </c>
      <c r="D10" s="2">
        <f t="shared" ref="D10:E10" si="2">D9-D7</f>
        <v>0</v>
      </c>
      <c r="E10" s="2">
        <f t="shared" si="2"/>
        <v>0</v>
      </c>
      <c r="F10" s="2"/>
      <c r="G10" s="1"/>
      <c r="H10" s="1"/>
      <c r="I10" s="1"/>
    </row>
    <row r="14" spans="1:9" x14ac:dyDescent="0.2">
      <c r="B14" s="2" t="s">
        <v>15</v>
      </c>
      <c r="C14" s="2" t="s">
        <v>1</v>
      </c>
      <c r="D14" s="2" t="s">
        <v>2</v>
      </c>
      <c r="E14" s="2" t="s">
        <v>3</v>
      </c>
    </row>
    <row r="15" spans="1:9" x14ac:dyDescent="0.2">
      <c r="B15" s="2" t="s">
        <v>4</v>
      </c>
      <c r="C15" s="2">
        <v>1</v>
      </c>
      <c r="D15" s="2">
        <v>6</v>
      </c>
      <c r="E15" s="2">
        <v>6</v>
      </c>
    </row>
    <row r="16" spans="1:9" x14ac:dyDescent="0.2">
      <c r="B16" s="2" t="s">
        <v>5</v>
      </c>
      <c r="C16" s="2">
        <v>7</v>
      </c>
      <c r="D16" s="2">
        <v>3</v>
      </c>
      <c r="E16" s="2">
        <v>1</v>
      </c>
    </row>
    <row r="17" spans="2:5" x14ac:dyDescent="0.2">
      <c r="B17" s="2" t="s">
        <v>6</v>
      </c>
      <c r="C17" s="2">
        <v>7</v>
      </c>
      <c r="D17" s="2">
        <v>3</v>
      </c>
      <c r="E17" s="2">
        <v>3</v>
      </c>
    </row>
    <row r="18" spans="2:5" x14ac:dyDescent="0.2">
      <c r="B18" s="2" t="s">
        <v>16</v>
      </c>
      <c r="C18" s="2">
        <v>3</v>
      </c>
      <c r="D18" s="2">
        <v>7</v>
      </c>
      <c r="E18" s="2">
        <v>3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8DC7-A6E1-DD42-A0B0-8A191AFC2F5B}">
  <dimension ref="A1:I18"/>
  <sheetViews>
    <sheetView workbookViewId="0">
      <selection activeCell="H8" sqref="H8"/>
    </sheetView>
  </sheetViews>
  <sheetFormatPr baseColWidth="10" defaultRowHeight="16" x14ac:dyDescent="0.2"/>
  <cols>
    <col min="2" max="2" width="26.6640625" customWidth="1"/>
    <col min="3" max="3" width="12.6640625" customWidth="1"/>
    <col min="8" max="8" width="14.33203125" customWidth="1"/>
    <col min="9" max="9" width="20.1640625" customWidth="1"/>
  </cols>
  <sheetData>
    <row r="1" spans="1:9" x14ac:dyDescent="0.2">
      <c r="A1" s="2"/>
      <c r="B1" s="2" t="s">
        <v>0</v>
      </c>
      <c r="C1" s="2"/>
      <c r="D1" s="2"/>
      <c r="E1" s="2"/>
      <c r="F1" s="4" t="s">
        <v>10</v>
      </c>
      <c r="G1" s="4"/>
      <c r="H1" s="2" t="s">
        <v>11</v>
      </c>
    </row>
    <row r="2" spans="1:9" x14ac:dyDescent="0.2">
      <c r="A2" s="2"/>
      <c r="B2" s="2"/>
      <c r="C2" s="2" t="s">
        <v>1</v>
      </c>
      <c r="D2" s="2" t="s">
        <v>2</v>
      </c>
      <c r="E2" s="2" t="s">
        <v>3</v>
      </c>
      <c r="F2" s="2" t="s">
        <v>7</v>
      </c>
      <c r="G2" s="2" t="s">
        <v>8</v>
      </c>
      <c r="H2" s="2" t="s">
        <v>12</v>
      </c>
      <c r="I2" s="2" t="s">
        <v>20</v>
      </c>
    </row>
    <row r="3" spans="1:9" x14ac:dyDescent="0.2">
      <c r="A3" s="2"/>
      <c r="B3" s="2" t="s">
        <v>4</v>
      </c>
      <c r="C3" s="5">
        <v>6</v>
      </c>
      <c r="D3" s="5">
        <v>10</v>
      </c>
      <c r="E3" s="5">
        <v>125</v>
      </c>
      <c r="F3" s="6">
        <f>SUM(C3:E3)</f>
        <v>141</v>
      </c>
      <c r="G3" s="3" t="s">
        <v>19</v>
      </c>
      <c r="H3" s="7">
        <v>163</v>
      </c>
      <c r="I3" s="2">
        <f>H3-F3</f>
        <v>22</v>
      </c>
    </row>
    <row r="4" spans="1:9" x14ac:dyDescent="0.2">
      <c r="A4" s="2"/>
      <c r="B4" s="2" t="s">
        <v>5</v>
      </c>
      <c r="C4" s="5">
        <v>0</v>
      </c>
      <c r="D4" s="5">
        <v>29</v>
      </c>
      <c r="E4" s="5">
        <v>0</v>
      </c>
      <c r="F4" s="6">
        <f t="shared" ref="F4:F5" si="0">SUM(C4:E4)</f>
        <v>29</v>
      </c>
      <c r="G4" s="3" t="s">
        <v>19</v>
      </c>
      <c r="H4" s="7">
        <v>29</v>
      </c>
      <c r="I4" s="2">
        <f t="shared" ref="I4:I6" si="1">H4-F4</f>
        <v>0</v>
      </c>
    </row>
    <row r="5" spans="1:9" x14ac:dyDescent="0.2">
      <c r="A5" s="2"/>
      <c r="B5" s="2" t="s">
        <v>6</v>
      </c>
      <c r="C5" s="5">
        <v>0</v>
      </c>
      <c r="D5" s="5">
        <v>12</v>
      </c>
      <c r="E5" s="5">
        <v>0</v>
      </c>
      <c r="F5" s="6">
        <f t="shared" si="0"/>
        <v>12</v>
      </c>
      <c r="G5" s="3" t="s">
        <v>19</v>
      </c>
      <c r="H5" s="7">
        <v>12</v>
      </c>
      <c r="I5" s="2">
        <f>H5-F5</f>
        <v>0</v>
      </c>
    </row>
    <row r="6" spans="1:9" x14ac:dyDescent="0.2">
      <c r="A6" s="2"/>
      <c r="B6" s="2"/>
      <c r="C6" s="11"/>
      <c r="D6" s="11"/>
      <c r="E6" s="11"/>
      <c r="F6" s="11"/>
      <c r="G6" s="2"/>
      <c r="H6" s="11"/>
      <c r="I6" s="2"/>
    </row>
    <row r="7" spans="1:9" x14ac:dyDescent="0.2">
      <c r="A7" s="2" t="s">
        <v>9</v>
      </c>
      <c r="B7" s="2" t="s">
        <v>17</v>
      </c>
      <c r="C7" s="6">
        <f>SUM(C3:C6)</f>
        <v>6</v>
      </c>
      <c r="D7" s="6">
        <f t="shared" ref="D7:E7" si="2">SUM(D3:D6)</f>
        <v>51</v>
      </c>
      <c r="E7" s="6">
        <f t="shared" si="2"/>
        <v>125</v>
      </c>
      <c r="F7" s="6"/>
      <c r="G7" s="2"/>
      <c r="H7" s="8">
        <f>SUM(H3:H5)</f>
        <v>204</v>
      </c>
    </row>
    <row r="8" spans="1:9" x14ac:dyDescent="0.2">
      <c r="A8" s="2"/>
      <c r="B8" s="2" t="s">
        <v>8</v>
      </c>
      <c r="C8" s="3" t="s">
        <v>18</v>
      </c>
      <c r="D8" s="3" t="s">
        <v>18</v>
      </c>
      <c r="E8" s="3" t="s">
        <v>18</v>
      </c>
      <c r="F8" s="2"/>
      <c r="G8" s="2"/>
      <c r="H8" s="2" t="s">
        <v>14</v>
      </c>
    </row>
    <row r="9" spans="1:9" x14ac:dyDescent="0.2">
      <c r="A9" s="2" t="s">
        <v>13</v>
      </c>
      <c r="B9" s="2" t="s">
        <v>12</v>
      </c>
      <c r="C9" s="7">
        <v>6</v>
      </c>
      <c r="D9" s="7">
        <v>51</v>
      </c>
      <c r="E9" s="7">
        <v>125</v>
      </c>
      <c r="F9" s="9">
        <f>SUM(C9:E9)</f>
        <v>182</v>
      </c>
      <c r="G9" s="2"/>
      <c r="H9" s="10">
        <f>SUMPRODUCT(C3:E5,C16:E18)</f>
        <v>414</v>
      </c>
    </row>
    <row r="10" spans="1:9" x14ac:dyDescent="0.2">
      <c r="A10" s="2"/>
      <c r="B10" s="2" t="s">
        <v>21</v>
      </c>
      <c r="C10" s="2">
        <f>C9-C7</f>
        <v>0</v>
      </c>
      <c r="D10" s="2">
        <f t="shared" ref="D10:E10" si="3">D9-D7</f>
        <v>0</v>
      </c>
      <c r="E10" s="2">
        <f t="shared" si="3"/>
        <v>0</v>
      </c>
      <c r="F10" s="2"/>
    </row>
    <row r="15" spans="1:9" x14ac:dyDescent="0.2">
      <c r="B15" s="2" t="s">
        <v>15</v>
      </c>
      <c r="C15" s="2" t="s">
        <v>1</v>
      </c>
      <c r="D15" s="2" t="s">
        <v>2</v>
      </c>
      <c r="E15" s="2" t="s">
        <v>3</v>
      </c>
    </row>
    <row r="16" spans="1:9" x14ac:dyDescent="0.2">
      <c r="B16" s="2" t="s">
        <v>4</v>
      </c>
      <c r="C16" s="2">
        <v>4</v>
      </c>
      <c r="D16" s="2">
        <v>7</v>
      </c>
      <c r="E16" s="2">
        <v>2</v>
      </c>
    </row>
    <row r="17" spans="2:5" x14ac:dyDescent="0.2">
      <c r="B17" s="2" t="s">
        <v>5</v>
      </c>
      <c r="C17" s="2">
        <v>1</v>
      </c>
      <c r="D17" s="2">
        <v>2</v>
      </c>
      <c r="E17" s="2">
        <v>1</v>
      </c>
    </row>
    <row r="18" spans="2:5" x14ac:dyDescent="0.2">
      <c r="B18" s="2" t="s">
        <v>6</v>
      </c>
      <c r="C18" s="2">
        <v>6</v>
      </c>
      <c r="D18" s="2">
        <v>1</v>
      </c>
      <c r="E18" s="2">
        <v>5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2FC2-13EC-0C48-A827-533B11D9761F}">
  <dimension ref="A1:H16"/>
  <sheetViews>
    <sheetView workbookViewId="0">
      <selection activeCell="J20" sqref="J20"/>
    </sheetView>
  </sheetViews>
  <sheetFormatPr baseColWidth="10" defaultRowHeight="16" x14ac:dyDescent="0.2"/>
  <cols>
    <col min="8" max="8" width="15.6640625" customWidth="1"/>
  </cols>
  <sheetData>
    <row r="1" spans="1:8" x14ac:dyDescent="0.2">
      <c r="A1" s="2"/>
      <c r="B1" s="2" t="s">
        <v>22</v>
      </c>
      <c r="C1" s="2" t="s">
        <v>23</v>
      </c>
      <c r="D1" s="2" t="s">
        <v>24</v>
      </c>
      <c r="E1" s="2" t="s">
        <v>25</v>
      </c>
      <c r="F1" s="1"/>
      <c r="G1" s="1"/>
      <c r="H1" s="1"/>
    </row>
    <row r="2" spans="1:8" x14ac:dyDescent="0.2">
      <c r="A2" s="2" t="s">
        <v>26</v>
      </c>
      <c r="B2" s="2">
        <v>6</v>
      </c>
      <c r="C2" s="2">
        <v>2</v>
      </c>
      <c r="D2" s="2">
        <v>0</v>
      </c>
      <c r="E2" s="2">
        <v>0</v>
      </c>
      <c r="F2" s="1"/>
      <c r="G2" s="1"/>
      <c r="H2" s="1"/>
    </row>
    <row r="3" spans="1:8" x14ac:dyDescent="0.2">
      <c r="A3" s="2" t="s">
        <v>27</v>
      </c>
      <c r="B3" s="2">
        <v>7</v>
      </c>
      <c r="C3" s="2">
        <v>7</v>
      </c>
      <c r="D3" s="2">
        <v>6</v>
      </c>
      <c r="E3" s="2">
        <v>2</v>
      </c>
      <c r="F3" s="1"/>
      <c r="G3" s="1"/>
      <c r="H3" s="1"/>
    </row>
    <row r="4" spans="1:8" x14ac:dyDescent="0.2">
      <c r="A4" s="2" t="s">
        <v>28</v>
      </c>
      <c r="B4" s="2">
        <v>7</v>
      </c>
      <c r="C4" s="2">
        <v>3</v>
      </c>
      <c r="D4" s="2">
        <v>4</v>
      </c>
      <c r="E4" s="2">
        <v>3</v>
      </c>
      <c r="F4" s="1"/>
      <c r="G4" s="1"/>
      <c r="H4" s="1"/>
    </row>
    <row r="5" spans="1:8" x14ac:dyDescent="0.2">
      <c r="A5" s="2" t="s">
        <v>29</v>
      </c>
      <c r="B5" s="2">
        <v>4</v>
      </c>
      <c r="C5" s="2">
        <v>3</v>
      </c>
      <c r="D5" s="2">
        <v>3</v>
      </c>
      <c r="E5" s="2">
        <v>3</v>
      </c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2"/>
      <c r="B9" s="11"/>
      <c r="C9" s="11"/>
      <c r="D9" s="11"/>
      <c r="E9" s="11"/>
      <c r="F9" s="2" t="s">
        <v>7</v>
      </c>
      <c r="G9" s="2" t="s">
        <v>8</v>
      </c>
      <c r="H9" s="2" t="s">
        <v>12</v>
      </c>
    </row>
    <row r="10" spans="1:8" x14ac:dyDescent="0.2">
      <c r="A10" s="2"/>
      <c r="B10" s="5">
        <v>1</v>
      </c>
      <c r="C10" s="5">
        <v>0</v>
      </c>
      <c r="D10" s="5">
        <v>0</v>
      </c>
      <c r="E10" s="5">
        <v>0</v>
      </c>
      <c r="F10" s="6">
        <f>SUM(B10:E10)</f>
        <v>1</v>
      </c>
      <c r="G10" s="2" t="s">
        <v>18</v>
      </c>
      <c r="H10" s="12">
        <v>1</v>
      </c>
    </row>
    <row r="11" spans="1:8" x14ac:dyDescent="0.2">
      <c r="A11" s="2"/>
      <c r="B11" s="5">
        <v>0</v>
      </c>
      <c r="C11" s="5">
        <v>1</v>
      </c>
      <c r="D11" s="5">
        <v>0</v>
      </c>
      <c r="E11" s="5">
        <v>0</v>
      </c>
      <c r="F11" s="6">
        <f t="shared" ref="F11:F13" si="0">SUM(B11:E11)</f>
        <v>1</v>
      </c>
      <c r="G11" s="2" t="s">
        <v>18</v>
      </c>
      <c r="H11" s="12">
        <v>1</v>
      </c>
    </row>
    <row r="12" spans="1:8" x14ac:dyDescent="0.2">
      <c r="A12" s="2"/>
      <c r="B12" s="5">
        <v>0</v>
      </c>
      <c r="C12" s="5">
        <v>0</v>
      </c>
      <c r="D12" s="5">
        <v>1</v>
      </c>
      <c r="E12" s="5">
        <v>0</v>
      </c>
      <c r="F12" s="6">
        <f t="shared" si="0"/>
        <v>1</v>
      </c>
      <c r="G12" s="2" t="s">
        <v>18</v>
      </c>
      <c r="H12" s="12">
        <v>1</v>
      </c>
    </row>
    <row r="13" spans="1:8" x14ac:dyDescent="0.2">
      <c r="A13" s="2"/>
      <c r="B13" s="5">
        <v>0</v>
      </c>
      <c r="C13" s="5">
        <v>0</v>
      </c>
      <c r="D13" s="5">
        <v>0</v>
      </c>
      <c r="E13" s="5">
        <v>1</v>
      </c>
      <c r="F13" s="6">
        <f t="shared" si="0"/>
        <v>1</v>
      </c>
      <c r="G13" s="2" t="s">
        <v>18</v>
      </c>
      <c r="H13" s="12">
        <v>1</v>
      </c>
    </row>
    <row r="14" spans="1:8" x14ac:dyDescent="0.2">
      <c r="A14" s="2" t="s">
        <v>7</v>
      </c>
      <c r="B14" s="6">
        <f>SUM(B10:B13)</f>
        <v>1</v>
      </c>
      <c r="C14" s="6">
        <f t="shared" ref="C14:E14" si="1">SUM(C10:C13)</f>
        <v>1</v>
      </c>
      <c r="D14" s="6">
        <f t="shared" si="1"/>
        <v>1</v>
      </c>
      <c r="E14" s="6">
        <f t="shared" si="1"/>
        <v>1</v>
      </c>
      <c r="F14" s="11"/>
      <c r="G14" s="2"/>
      <c r="H14" s="11"/>
    </row>
    <row r="15" spans="1:8" x14ac:dyDescent="0.2">
      <c r="A15" s="2" t="s">
        <v>8</v>
      </c>
      <c r="B15" s="2" t="s">
        <v>18</v>
      </c>
      <c r="C15" s="2" t="s">
        <v>18</v>
      </c>
      <c r="D15" s="2" t="s">
        <v>18</v>
      </c>
      <c r="E15" s="2" t="s">
        <v>18</v>
      </c>
      <c r="F15" s="2"/>
      <c r="G15" s="2"/>
      <c r="H15" s="2" t="s">
        <v>14</v>
      </c>
    </row>
    <row r="16" spans="1:8" x14ac:dyDescent="0.2">
      <c r="A16" s="2" t="s">
        <v>12</v>
      </c>
      <c r="B16" s="12">
        <v>1</v>
      </c>
      <c r="C16" s="12">
        <v>1</v>
      </c>
      <c r="D16" s="12">
        <v>1</v>
      </c>
      <c r="E16" s="12">
        <v>1</v>
      </c>
      <c r="F16" s="2"/>
      <c r="G16" s="2"/>
      <c r="H16" s="10">
        <f>SUMPRODUCT(B2:E5,B10:E13)</f>
        <v>20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516C-02B3-F741-9C1E-F8A1F37E1AC5}">
  <dimension ref="A2:H17"/>
  <sheetViews>
    <sheetView topLeftCell="A2" workbookViewId="0">
      <selection activeCell="G20" sqref="G20"/>
    </sheetView>
  </sheetViews>
  <sheetFormatPr baseColWidth="10" defaultRowHeight="16" x14ac:dyDescent="0.2"/>
  <sheetData>
    <row r="2" spans="1:8" x14ac:dyDescent="0.2">
      <c r="A2" s="2"/>
      <c r="B2" s="2" t="s">
        <v>22</v>
      </c>
      <c r="C2" s="2" t="s">
        <v>23</v>
      </c>
      <c r="D2" s="2" t="s">
        <v>24</v>
      </c>
      <c r="E2" s="2" t="s">
        <v>25</v>
      </c>
      <c r="F2" s="1"/>
      <c r="G2" s="1"/>
      <c r="H2" s="1"/>
    </row>
    <row r="3" spans="1:8" x14ac:dyDescent="0.2">
      <c r="A3" s="2" t="s">
        <v>26</v>
      </c>
      <c r="B3" s="2">
        <v>3</v>
      </c>
      <c r="C3" s="2">
        <v>1</v>
      </c>
      <c r="D3" s="2">
        <v>6</v>
      </c>
      <c r="E3" s="2">
        <v>0</v>
      </c>
      <c r="F3" s="1"/>
      <c r="G3" s="1"/>
      <c r="H3" s="1"/>
    </row>
    <row r="4" spans="1:8" x14ac:dyDescent="0.2">
      <c r="A4" s="2" t="s">
        <v>27</v>
      </c>
      <c r="B4" s="2">
        <v>5</v>
      </c>
      <c r="C4" s="2">
        <v>1</v>
      </c>
      <c r="D4" s="2">
        <v>6</v>
      </c>
      <c r="E4" s="2">
        <v>0</v>
      </c>
      <c r="F4" s="1"/>
      <c r="G4" s="1"/>
      <c r="H4" s="1"/>
    </row>
    <row r="5" spans="1:8" x14ac:dyDescent="0.2">
      <c r="A5" s="2" t="s">
        <v>28</v>
      </c>
      <c r="B5" s="2">
        <v>6</v>
      </c>
      <c r="C5" s="2">
        <v>2</v>
      </c>
      <c r="D5" s="2">
        <v>2</v>
      </c>
      <c r="E5" s="2">
        <v>6</v>
      </c>
      <c r="F5" s="1"/>
      <c r="G5" s="1"/>
      <c r="H5" s="1"/>
    </row>
    <row r="6" spans="1:8" x14ac:dyDescent="0.2">
      <c r="A6" s="2" t="s">
        <v>29</v>
      </c>
      <c r="B6" s="2">
        <v>7</v>
      </c>
      <c r="C6" s="2">
        <v>3</v>
      </c>
      <c r="D6" s="2">
        <v>4</v>
      </c>
      <c r="E6" s="2">
        <v>3</v>
      </c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2"/>
      <c r="B10" s="11"/>
      <c r="C10" s="11"/>
      <c r="D10" s="11"/>
      <c r="E10" s="11"/>
      <c r="F10" s="2" t="s">
        <v>7</v>
      </c>
      <c r="G10" s="2" t="s">
        <v>8</v>
      </c>
      <c r="H10" s="2" t="s">
        <v>12</v>
      </c>
    </row>
    <row r="11" spans="1:8" x14ac:dyDescent="0.2">
      <c r="A11" s="2"/>
      <c r="B11" s="5">
        <v>0</v>
      </c>
      <c r="C11" s="5">
        <v>0</v>
      </c>
      <c r="D11" s="5">
        <v>1</v>
      </c>
      <c r="E11" s="5">
        <v>0</v>
      </c>
      <c r="F11" s="6">
        <f>SUM(B11:E11)</f>
        <v>1</v>
      </c>
      <c r="G11" s="2" t="s">
        <v>18</v>
      </c>
      <c r="H11" s="12">
        <v>1</v>
      </c>
    </row>
    <row r="12" spans="1:8" x14ac:dyDescent="0.2">
      <c r="A12" s="2"/>
      <c r="B12" s="5">
        <v>1</v>
      </c>
      <c r="C12" s="5">
        <v>0</v>
      </c>
      <c r="D12" s="5">
        <v>0</v>
      </c>
      <c r="E12" s="5">
        <v>0</v>
      </c>
      <c r="F12" s="6">
        <f t="shared" ref="F12:F14" si="0">SUM(B12:E12)</f>
        <v>1</v>
      </c>
      <c r="G12" s="2" t="s">
        <v>18</v>
      </c>
      <c r="H12" s="12">
        <v>1</v>
      </c>
    </row>
    <row r="13" spans="1:8" x14ac:dyDescent="0.2">
      <c r="A13" s="2"/>
      <c r="B13" s="5">
        <v>0</v>
      </c>
      <c r="C13" s="5">
        <v>0</v>
      </c>
      <c r="D13" s="5">
        <v>0</v>
      </c>
      <c r="E13" s="5">
        <v>1</v>
      </c>
      <c r="F13" s="6">
        <f t="shared" si="0"/>
        <v>1</v>
      </c>
      <c r="G13" s="2" t="s">
        <v>18</v>
      </c>
      <c r="H13" s="12">
        <v>1</v>
      </c>
    </row>
    <row r="14" spans="1:8" x14ac:dyDescent="0.2">
      <c r="A14" s="2"/>
      <c r="B14" s="5">
        <v>0</v>
      </c>
      <c r="C14" s="5">
        <v>1</v>
      </c>
      <c r="D14" s="5">
        <v>0</v>
      </c>
      <c r="E14" s="5">
        <v>0</v>
      </c>
      <c r="F14" s="6">
        <f t="shared" si="0"/>
        <v>1</v>
      </c>
      <c r="G14" s="13" t="s">
        <v>18</v>
      </c>
      <c r="H14" s="12">
        <v>1</v>
      </c>
    </row>
    <row r="15" spans="1:8" x14ac:dyDescent="0.2">
      <c r="A15" s="2" t="s">
        <v>7</v>
      </c>
      <c r="B15" s="6">
        <f>SUM(B11:B14)</f>
        <v>1</v>
      </c>
      <c r="C15" s="6">
        <f t="shared" ref="C15:E15" si="1">SUM(C11:C14)</f>
        <v>1</v>
      </c>
      <c r="D15" s="6">
        <f t="shared" si="1"/>
        <v>1</v>
      </c>
      <c r="E15" s="6">
        <f t="shared" si="1"/>
        <v>1</v>
      </c>
      <c r="F15" s="11"/>
      <c r="G15" s="2"/>
      <c r="H15" s="11"/>
    </row>
    <row r="16" spans="1:8" x14ac:dyDescent="0.2">
      <c r="A16" s="2" t="s">
        <v>8</v>
      </c>
      <c r="B16" s="2" t="s">
        <v>18</v>
      </c>
      <c r="C16" s="2" t="s">
        <v>18</v>
      </c>
      <c r="D16" s="2" t="s">
        <v>18</v>
      </c>
      <c r="E16" s="2" t="s">
        <v>18</v>
      </c>
      <c r="F16" s="2"/>
      <c r="G16" s="2"/>
      <c r="H16" s="2" t="s">
        <v>14</v>
      </c>
    </row>
    <row r="17" spans="1:8" x14ac:dyDescent="0.2">
      <c r="A17" s="2" t="s">
        <v>12</v>
      </c>
      <c r="B17" s="12">
        <v>1</v>
      </c>
      <c r="C17" s="12">
        <v>1</v>
      </c>
      <c r="D17" s="12">
        <v>1</v>
      </c>
      <c r="E17" s="12">
        <v>1</v>
      </c>
      <c r="F17" s="2"/>
      <c r="G17" s="2"/>
      <c r="H17" s="10">
        <f>SUMPRODUCT(B3:E6,B11:E14)</f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2025-12-08T08:36:25Z</dcterms:created>
  <dcterms:modified xsi:type="dcterms:W3CDTF">2025-12-08T11:18:00Z</dcterms:modified>
</cp:coreProperties>
</file>