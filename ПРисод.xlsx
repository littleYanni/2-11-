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ashidlovskaya/Desktop/БГУИР/"/>
    </mc:Choice>
  </mc:AlternateContent>
  <xr:revisionPtr revIDLastSave="0" documentId="13_ncr:1_{D3DC04FA-664C-3944-93B0-39D37A1F6001}" xr6:coauthVersionLast="47" xr6:coauthVersionMax="47" xr10:uidLastSave="{00000000-0000-0000-0000-000000000000}"/>
  <bookViews>
    <workbookView xWindow="0" yWindow="760" windowWidth="30240" windowHeight="17180" activeTab="8" xr2:uid="{D4DFF78A-FA8D-0844-85A3-DEB21F06CAD6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  <sheet name="Лист8" sheetId="8" r:id="rId8"/>
    <sheet name="Лист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8" l="1"/>
  <c r="B2" i="7"/>
  <c r="B2" i="6"/>
  <c r="B2" i="5"/>
  <c r="E3" i="4"/>
  <c r="D2" i="3"/>
  <c r="B2" i="3"/>
  <c r="C2" i="3"/>
  <c r="C2" i="2"/>
  <c r="B2" i="2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C2" i="8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C9" i="1"/>
  <c r="C10" i="1"/>
  <c r="C17" i="1"/>
  <c r="C18" i="1"/>
  <c r="C25" i="1"/>
  <c r="C26" i="1"/>
  <c r="C33" i="1"/>
  <c r="C34" i="1"/>
  <c r="C41" i="1"/>
  <c r="C42" i="1"/>
  <c r="B2" i="1"/>
  <c r="C2" i="1" s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B10" i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B18" i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B26" i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B34" i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B42" i="1"/>
  <c r="B43" i="1"/>
  <c r="C43" i="1" s="1"/>
  <c r="B44" i="1"/>
  <c r="C44" i="1" s="1"/>
  <c r="B45" i="1"/>
  <c r="C45" i="1" s="1"/>
  <c r="B46" i="1"/>
  <c r="C46" i="1" s="1"/>
  <c r="B47" i="1"/>
  <c r="C47" i="1" s="1"/>
</calcChain>
</file>

<file path=xl/sharedStrings.xml><?xml version="1.0" encoding="utf-8"?>
<sst xmlns="http://schemas.openxmlformats.org/spreadsheetml/2006/main" count="26" uniqueCount="13">
  <si>
    <t>x</t>
  </si>
  <si>
    <t>y</t>
  </si>
  <si>
    <t>x (градусы)</t>
  </si>
  <si>
    <t>х (радианы)</t>
  </si>
  <si>
    <t>у=tg(x)/3+cos(x)</t>
  </si>
  <si>
    <t>z</t>
  </si>
  <si>
    <t>g</t>
  </si>
  <si>
    <t>Переменная</t>
  </si>
  <si>
    <t>Функция</t>
  </si>
  <si>
    <t>Результат</t>
  </si>
  <si>
    <t>(tg(y)+arccos(z))/x</t>
  </si>
  <si>
    <t>y=3*√(4-x^2)</t>
  </si>
  <si>
    <t>y=-3*√(4-x^2)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</si>
</sst>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2"/>
      <color rgb="FF182244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 </a:t>
            </a:r>
            <a:r>
              <a:rPr lang="ru-RU" sz="1400" b="0" i="1" u="none" strike="noStrike" baseline="0">
                <a:effectLst/>
              </a:rPr>
              <a:t>График функции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Лист1!$C$3:$C$47</c:f>
              <c:numCache>
                <c:formatCode>General</c:formatCode>
                <c:ptCount val="45"/>
                <c:pt idx="0">
                  <c:v>-9.5803172576743734</c:v>
                </c:pt>
                <c:pt idx="1">
                  <c:v>-4.8366452259814317</c:v>
                </c:pt>
                <c:pt idx="2">
                  <c:v>-3.2759832813418459</c:v>
                </c:pt>
                <c:pt idx="3">
                  <c:v>-2.51096300842147</c:v>
                </c:pt>
                <c:pt idx="4">
                  <c:v>-2.0640754508728341</c:v>
                </c:pt>
                <c:pt idx="5">
                  <c:v>-1.7761217273105776</c:v>
                </c:pt>
                <c:pt idx="6">
                  <c:v>-1.5788488734449491</c:v>
                </c:pt>
                <c:pt idx="7">
                  <c:v>-1.4381088370973025</c:v>
                </c:pt>
                <c:pt idx="8">
                  <c:v>-1.3349115067666988</c:v>
                </c:pt>
                <c:pt idx="9">
                  <c:v>-1.257845949810543</c:v>
                </c:pt>
                <c:pt idx="10">
                  <c:v>-1.1996355445546771</c:v>
                </c:pt>
                <c:pt idx="11">
                  <c:v>-1.1554155677105387</c:v>
                </c:pt>
                <c:pt idx="12">
                  <c:v>-1.1218057606488427</c:v>
                </c:pt>
                <c:pt idx="13">
                  <c:v>-1.0963803845680014</c:v>
                </c:pt>
                <c:pt idx="14">
                  <c:v>-1.077350269189626</c:v>
                </c:pt>
                <c:pt idx="15">
                  <c:v>-1.0633641072468885</c:v>
                </c:pt>
                <c:pt idx="16">
                  <c:v>-1.0533798929749936</c:v>
                </c:pt>
                <c:pt idx="17">
                  <c:v>-1.0465792257828643</c:v>
                </c:pt>
                <c:pt idx="18">
                  <c:v>-1.0423086860566846</c:v>
                </c:pt>
                <c:pt idx="19">
                  <c:v>-1.0400388072179427</c:v>
                </c:pt>
                <c:pt idx="20">
                  <c:v>-1.0393347779685891</c:v>
                </c:pt>
                <c:pt idx="21">
                  <c:v>-1.0398351417225205</c:v>
                </c:pt>
                <c:pt idx="22">
                  <c:v>-1.0412360586076759</c:v>
                </c:pt>
                <c:pt idx="23">
                  <c:v>-1.0432795069100074</c:v>
                </c:pt>
                <c:pt idx="24">
                  <c:v>-1.0457443201780714</c:v>
                </c:pt>
                <c:pt idx="25">
                  <c:v>-1.0484392957756277</c:v>
                </c:pt>
                <c:pt idx="26">
                  <c:v>-1.051197837043401</c:v>
                </c:pt>
                <c:pt idx="27">
                  <c:v>-1.0538737448358506</c:v>
                </c:pt>
                <c:pt idx="28">
                  <c:v>-1.0563378801262018</c:v>
                </c:pt>
                <c:pt idx="29">
                  <c:v>-1.0584754935143139</c:v>
                </c:pt>
                <c:pt idx="30">
                  <c:v>-1.0601840700794198</c:v>
                </c:pt>
                <c:pt idx="31">
                  <c:v>-1.0613715758211208</c:v>
                </c:pt>
                <c:pt idx="32">
                  <c:v>-1.061955019412113</c:v>
                </c:pt>
                <c:pt idx="33">
                  <c:v>-1.0618592631785064</c:v>
                </c:pt>
                <c:pt idx="34">
                  <c:v>-1.0610160322079758</c:v>
                </c:pt>
                <c:pt idx="35">
                  <c:v>-1.0593630817061224</c:v>
                </c:pt>
                <c:pt idx="36">
                  <c:v>-1.056843491191255</c:v>
                </c:pt>
                <c:pt idx="37">
                  <c:v>-1.0534050605570566</c:v>
                </c:pt>
                <c:pt idx="38">
                  <c:v>-1.0489997879571464</c:v>
                </c:pt>
                <c:pt idx="39">
                  <c:v>-1.043583413248363</c:v>
                </c:pt>
                <c:pt idx="40">
                  <c:v>-1.0371150136423675</c:v>
                </c:pt>
                <c:pt idx="41">
                  <c:v>-1.0295566404568322</c:v>
                </c:pt>
                <c:pt idx="42">
                  <c:v>-1.0208729875743277</c:v>
                </c:pt>
                <c:pt idx="43">
                  <c:v>-1.011031083516345</c:v>
                </c:pt>
                <c:pt idx="44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3-CE43-9F5F-6BD849B74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614239"/>
        <c:axId val="1990248175"/>
      </c:lineChart>
      <c:catAx>
        <c:axId val="1990614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90248175"/>
        <c:crosses val="autoZero"/>
        <c:auto val="1"/>
        <c:lblAlgn val="ctr"/>
        <c:lblOffset val="100"/>
        <c:noMultiLvlLbl val="0"/>
      </c:catAx>
      <c:valAx>
        <c:axId val="199024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9061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1" u="none" strike="noStrike" baseline="0">
                <a:effectLst/>
              </a:rPr>
              <a:t>Графики двух функций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Лист2!$B$2:$B$40</c:f>
              <c:numCache>
                <c:formatCode>General</c:formatCode>
                <c:ptCount val="39"/>
                <c:pt idx="0">
                  <c:v>-0.40614962029113355</c:v>
                </c:pt>
                <c:pt idx="1">
                  <c:v>-1</c:v>
                </c:pt>
                <c:pt idx="2">
                  <c:v>-0.40614962029113233</c:v>
                </c:pt>
                <c:pt idx="3">
                  <c:v>0.86803398874989546</c:v>
                </c:pt>
                <c:pt idx="4">
                  <c:v>1.7204774005889671</c:v>
                </c:pt>
                <c:pt idx="5">
                  <c:v>1.3680339887498949</c:v>
                </c:pt>
                <c:pt idx="6">
                  <c:v>-1.5711356534475805E-14</c:v>
                </c:pt>
                <c:pt idx="7">
                  <c:v>-1.3680339887499047</c:v>
                </c:pt>
                <c:pt idx="8">
                  <c:v>-1.720477400588964</c:v>
                </c:pt>
                <c:pt idx="9">
                  <c:v>-0.8680339887498818</c:v>
                </c:pt>
                <c:pt idx="10">
                  <c:v>0.40614962029113322</c:v>
                </c:pt>
                <c:pt idx="11">
                  <c:v>1</c:v>
                </c:pt>
                <c:pt idx="12">
                  <c:v>0.40614962029113277</c:v>
                </c:pt>
                <c:pt idx="13">
                  <c:v>-0.8680339887498949</c:v>
                </c:pt>
                <c:pt idx="14">
                  <c:v>-1.7204774005889671</c:v>
                </c:pt>
                <c:pt idx="15">
                  <c:v>-1.3680339887498949</c:v>
                </c:pt>
                <c:pt idx="16">
                  <c:v>0</c:v>
                </c:pt>
                <c:pt idx="17">
                  <c:v>1.3680339887498936</c:v>
                </c:pt>
                <c:pt idx="18">
                  <c:v>1.7204774005889671</c:v>
                </c:pt>
                <c:pt idx="19">
                  <c:v>0.8680339887498949</c:v>
                </c:pt>
                <c:pt idx="20">
                  <c:v>-0.40614962029113277</c:v>
                </c:pt>
                <c:pt idx="21">
                  <c:v>-1</c:v>
                </c:pt>
                <c:pt idx="22">
                  <c:v>-0.40614962029113322</c:v>
                </c:pt>
                <c:pt idx="23">
                  <c:v>0.86803398874989446</c:v>
                </c:pt>
                <c:pt idx="24">
                  <c:v>1.7204774005889667</c:v>
                </c:pt>
                <c:pt idx="25">
                  <c:v>1.3680339887498953</c:v>
                </c:pt>
                <c:pt idx="26">
                  <c:v>6.1232339957367653E-16</c:v>
                </c:pt>
                <c:pt idx="27">
                  <c:v>-1.3680339887498949</c:v>
                </c:pt>
                <c:pt idx="28">
                  <c:v>-1.7204774005889671</c:v>
                </c:pt>
                <c:pt idx="29">
                  <c:v>-0.86803398874989546</c:v>
                </c:pt>
                <c:pt idx="30">
                  <c:v>0.40614962029113233</c:v>
                </c:pt>
                <c:pt idx="31">
                  <c:v>1</c:v>
                </c:pt>
                <c:pt idx="32">
                  <c:v>0.40614962029113355</c:v>
                </c:pt>
                <c:pt idx="33">
                  <c:v>-0.86803398874989224</c:v>
                </c:pt>
                <c:pt idx="34">
                  <c:v>-1.7204774005889667</c:v>
                </c:pt>
                <c:pt idx="35">
                  <c:v>-1.3680339887498967</c:v>
                </c:pt>
                <c:pt idx="36">
                  <c:v>-1.2246467991473531E-15</c:v>
                </c:pt>
                <c:pt idx="37">
                  <c:v>1.3680339887498949</c:v>
                </c:pt>
                <c:pt idx="38">
                  <c:v>1.7204774005889671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6E-7048-9A09-44D357E2C502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Лист2!$C$2:$C$40</c:f>
              <c:numCache>
                <c:formatCode>General</c:formatCode>
                <c:ptCount val="39"/>
                <c:pt idx="0">
                  <c:v>-1.0407797401561591</c:v>
                </c:pt>
                <c:pt idx="1">
                  <c:v>-2</c:v>
                </c:pt>
                <c:pt idx="2">
                  <c:v>-1.0407797401561572</c:v>
                </c:pt>
                <c:pt idx="3">
                  <c:v>0.60676274578121114</c:v>
                </c:pt>
                <c:pt idx="4">
                  <c:v>0.91577974015615771</c:v>
                </c:pt>
                <c:pt idx="5">
                  <c:v>-0.23176274578120926</c:v>
                </c:pt>
                <c:pt idx="6">
                  <c:v>-1</c:v>
                </c:pt>
                <c:pt idx="7">
                  <c:v>-0.23176274578119715</c:v>
                </c:pt>
                <c:pt idx="8">
                  <c:v>0.91577974015616437</c:v>
                </c:pt>
                <c:pt idx="9">
                  <c:v>0.60676274578119815</c:v>
                </c:pt>
                <c:pt idx="10">
                  <c:v>-1.0407797401561585</c:v>
                </c:pt>
                <c:pt idx="11">
                  <c:v>-2</c:v>
                </c:pt>
                <c:pt idx="12">
                  <c:v>-1.0407797401561576</c:v>
                </c:pt>
                <c:pt idx="13">
                  <c:v>0.60676274578121059</c:v>
                </c:pt>
                <c:pt idx="14">
                  <c:v>0.91577974015615793</c:v>
                </c:pt>
                <c:pt idx="15">
                  <c:v>-0.23176274578121059</c:v>
                </c:pt>
                <c:pt idx="16">
                  <c:v>-1</c:v>
                </c:pt>
                <c:pt idx="17">
                  <c:v>-0.23176274578121198</c:v>
                </c:pt>
                <c:pt idx="18">
                  <c:v>0.91577974015615793</c:v>
                </c:pt>
                <c:pt idx="19">
                  <c:v>0.60676274578121059</c:v>
                </c:pt>
                <c:pt idx="20">
                  <c:v>-1.0407797401561576</c:v>
                </c:pt>
                <c:pt idx="21">
                  <c:v>-2</c:v>
                </c:pt>
                <c:pt idx="22">
                  <c:v>-1.0407797401561585</c:v>
                </c:pt>
                <c:pt idx="23">
                  <c:v>0.60676274578121026</c:v>
                </c:pt>
                <c:pt idx="24">
                  <c:v>0.91577974015615826</c:v>
                </c:pt>
                <c:pt idx="25">
                  <c:v>-0.23176274578121012</c:v>
                </c:pt>
                <c:pt idx="26">
                  <c:v>-1</c:v>
                </c:pt>
                <c:pt idx="27">
                  <c:v>-0.23176274578120926</c:v>
                </c:pt>
                <c:pt idx="28">
                  <c:v>0.91577974015615771</c:v>
                </c:pt>
                <c:pt idx="29">
                  <c:v>0.60676274578121114</c:v>
                </c:pt>
                <c:pt idx="30">
                  <c:v>-1.0407797401561572</c:v>
                </c:pt>
                <c:pt idx="31">
                  <c:v>-2</c:v>
                </c:pt>
                <c:pt idx="32">
                  <c:v>-1.0407797401561591</c:v>
                </c:pt>
                <c:pt idx="33">
                  <c:v>0.6067627457812097</c:v>
                </c:pt>
                <c:pt idx="34">
                  <c:v>0.91577974015615837</c:v>
                </c:pt>
                <c:pt idx="35">
                  <c:v>-0.23176274578120962</c:v>
                </c:pt>
                <c:pt idx="36">
                  <c:v>-1</c:v>
                </c:pt>
                <c:pt idx="37">
                  <c:v>-0.23176274578121164</c:v>
                </c:pt>
                <c:pt idx="38">
                  <c:v>0.91577974015615926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6E-7048-9A09-44D357E2C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7745679"/>
        <c:axId val="1087723743"/>
      </c:lineChart>
      <c:catAx>
        <c:axId val="1087745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087723743"/>
        <c:crosses val="autoZero"/>
        <c:auto val="1"/>
        <c:lblAlgn val="ctr"/>
        <c:lblOffset val="100"/>
        <c:noMultiLvlLbl val="0"/>
      </c:catAx>
      <c:valAx>
        <c:axId val="108772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08774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График функции </a:t>
            </a:r>
            <a:r>
              <a:rPr lang="en-US"/>
              <a:t>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Лист3!$D$1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Лист3!$D$2:$D$42</c:f>
              <c:numCache>
                <c:formatCode>General</c:formatCode>
                <c:ptCount val="41"/>
                <c:pt idx="0">
                  <c:v>-0.58480354764257325</c:v>
                </c:pt>
                <c:pt idx="1">
                  <c:v>-0.54076536445156564</c:v>
                </c:pt>
                <c:pt idx="2">
                  <c:v>-0.49427430577099846</c:v>
                </c:pt>
                <c:pt idx="3">
                  <c:v>-0.44509034431815531</c:v>
                </c:pt>
                <c:pt idx="4">
                  <c:v>-0.39294754915857683</c:v>
                </c:pt>
                <c:pt idx="5">
                  <c:v>-0.33755319058958183</c:v>
                </c:pt>
                <c:pt idx="6">
                  <c:v>-0.27858822372946518</c:v>
                </c:pt>
                <c:pt idx="7">
                  <c:v>-0.21571010723198264</c:v>
                </c:pt>
                <c:pt idx="8">
                  <c:v>-0.14855937155319293</c:v>
                </c:pt>
                <c:pt idx="9">
                  <c:v>-7.677195064595134E-2</c:v>
                </c:pt>
                <c:pt idx="10">
                  <c:v>0</c:v>
                </c:pt>
                <c:pt idx="11">
                  <c:v>8.2055395240515597E-2</c:v>
                </c:pt>
                <c:pt idx="12">
                  <c:v>0.16959591199586493</c:v>
                </c:pt>
                <c:pt idx="13">
                  <c:v>0.26265912828020233</c:v>
                </c:pt>
                <c:pt idx="14">
                  <c:v>0.3610331011956226</c:v>
                </c:pt>
                <c:pt idx="15">
                  <c:v>0.46415888336127786</c:v>
                </c:pt>
                <c:pt idx="16">
                  <c:v>0.57103832139319644</c:v>
                </c:pt>
                <c:pt idx="17">
                  <c:v>0.68017793720240305</c:v>
                </c:pt>
                <c:pt idx="18">
                  <c:v>0.78960921349942859</c:v>
                </c:pt>
                <c:pt idx="19">
                  <c:v>0.89701984572960525</c:v>
                </c:pt>
                <c:pt idx="20">
                  <c:v>1</c:v>
                </c:pt>
                <c:pt idx="21">
                  <c:v>1.5374615061559633</c:v>
                </c:pt>
                <c:pt idx="22">
                  <c:v>1.140640092071278</c:v>
                </c:pt>
                <c:pt idx="23">
                  <c:v>0.79762327218805207</c:v>
                </c:pt>
                <c:pt idx="24">
                  <c:v>0.49865792823444222</c:v>
                </c:pt>
                <c:pt idx="25">
                  <c:v>0.23575888234288467</c:v>
                </c:pt>
                <c:pt idx="26">
                  <c:v>2.3884238244039624E-3</c:v>
                </c:pt>
                <c:pt idx="27">
                  <c:v>-0.20680607211678742</c:v>
                </c:pt>
                <c:pt idx="28">
                  <c:v>-0.39620696401068967</c:v>
                </c:pt>
                <c:pt idx="29">
                  <c:v>-0.56940222355682746</c:v>
                </c:pt>
                <c:pt idx="30">
                  <c:v>-0.7293294335267746</c:v>
                </c:pt>
                <c:pt idx="31">
                  <c:v>0.96548938460562972</c:v>
                </c:pt>
                <c:pt idx="32">
                  <c:v>0.92831776672255573</c:v>
                </c:pt>
                <c:pt idx="33">
                  <c:v>0.88790400174260065</c:v>
                </c:pt>
                <c:pt idx="34">
                  <c:v>0.8434326653017491</c:v>
                </c:pt>
                <c:pt idx="35">
                  <c:v>0.79370052598409979</c:v>
                </c:pt>
                <c:pt idx="36">
                  <c:v>0.73680629972807732</c:v>
                </c:pt>
                <c:pt idx="37">
                  <c:v>0.66943295008216941</c:v>
                </c:pt>
                <c:pt idx="38">
                  <c:v>0.58480354764257303</c:v>
                </c:pt>
                <c:pt idx="39">
                  <c:v>0.46415888336127736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31-8B42-B8D6-1689E9B14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7641087"/>
        <c:axId val="1989826783"/>
      </c:lineChart>
      <c:catAx>
        <c:axId val="1987641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89826783"/>
        <c:crosses val="autoZero"/>
        <c:auto val="1"/>
        <c:lblAlgn val="ctr"/>
        <c:lblOffset val="100"/>
        <c:noMultiLvlLbl val="0"/>
      </c:catAx>
      <c:valAx>
        <c:axId val="198982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8764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График функции </a:t>
            </a:r>
            <a:r>
              <a:rPr lang="en-US"/>
              <a:t>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Лист3!$C$1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Лист3!$C$2:$C$42</c:f>
              <c:numCache>
                <c:formatCode>General</c:formatCode>
                <c:ptCount val="41"/>
                <c:pt idx="0">
                  <c:v>-2.901070470045239</c:v>
                </c:pt>
                <c:pt idx="1">
                  <c:v>-2.943416407105035</c:v>
                </c:pt>
                <c:pt idx="2">
                  <c:v>-2.973163684467512</c:v>
                </c:pt>
                <c:pt idx="3">
                  <c:v>-2.9915953350676752</c:v>
                </c:pt>
                <c:pt idx="4">
                  <c:v>-2.9995734212271388</c:v>
                </c:pt>
                <c:pt idx="5">
                  <c:v>-2.9974887115119406</c:v>
                </c:pt>
                <c:pt idx="6">
                  <c:v>-2.9852380196310517</c:v>
                </c:pt>
                <c:pt idx="7">
                  <c:v>-2.9622301795671051</c:v>
                </c:pt>
                <c:pt idx="8">
                  <c:v>-2.927420400131056</c:v>
                </c:pt>
                <c:pt idx="9">
                  <c:v>-2.8793715215566333</c:v>
                </c:pt>
                <c:pt idx="10">
                  <c:v>-2.8163395361501182</c:v>
                </c:pt>
                <c:pt idx="11">
                  <c:v>-2.7363796815359063</c:v>
                </c:pt>
                <c:pt idx="12">
                  <c:v>-2.6374685115479237</c:v>
                </c:pt>
                <c:pt idx="13">
                  <c:v>-2.5176366331631934</c:v>
                </c:pt>
                <c:pt idx="14">
                  <c:v>-2.3751062974234425</c:v>
                </c:pt>
                <c:pt idx="15">
                  <c:v>-2.2084277687466791</c:v>
                </c:pt>
                <c:pt idx="16">
                  <c:v>-2.0166083815995339</c:v>
                </c:pt>
                <c:pt idx="17">
                  <c:v>-1.7992284274388575</c:v>
                </c:pt>
                <c:pt idx="18">
                  <c:v>-1.5565384893866261</c:v>
                </c:pt>
                <c:pt idx="19">
                  <c:v>-1.2895335388611051</c:v>
                </c:pt>
                <c:pt idx="20">
                  <c:v>-1</c:v>
                </c:pt>
                <c:pt idx="21">
                  <c:v>3.0149626863362666</c:v>
                </c:pt>
                <c:pt idx="22">
                  <c:v>3.0594117081556709</c:v>
                </c:pt>
                <c:pt idx="23">
                  <c:v>3.1320919526731652</c:v>
                </c:pt>
                <c:pt idx="24">
                  <c:v>3.2310988842807031</c:v>
                </c:pt>
                <c:pt idx="25">
                  <c:v>3.3541019662496847</c:v>
                </c:pt>
                <c:pt idx="26">
                  <c:v>3.4985711369071808</c:v>
                </c:pt>
                <c:pt idx="27">
                  <c:v>3.6619666847201109</c:v>
                </c:pt>
                <c:pt idx="28">
                  <c:v>3.8418745424597098</c:v>
                </c:pt>
                <c:pt idx="29">
                  <c:v>4.0360872141221131</c:v>
                </c:pt>
                <c:pt idx="30">
                  <c:v>4.2426406871192857</c:v>
                </c:pt>
                <c:pt idx="31">
                  <c:v>4.4598206241955518</c:v>
                </c:pt>
                <c:pt idx="32">
                  <c:v>4.6861498055439927</c:v>
                </c:pt>
                <c:pt idx="33">
                  <c:v>4.920365840057018</c:v>
                </c:pt>
                <c:pt idx="34">
                  <c:v>5.1613951602255765</c:v>
                </c:pt>
                <c:pt idx="35">
                  <c:v>5.4083269131959835</c:v>
                </c:pt>
                <c:pt idx="36">
                  <c:v>5.6603886792339626</c:v>
                </c:pt>
                <c:pt idx="37">
                  <c:v>5.9169248769948064</c:v>
                </c:pt>
                <c:pt idx="38">
                  <c:v>6.1773780845922008</c:v>
                </c:pt>
                <c:pt idx="39">
                  <c:v>6.4412731660751668</c:v>
                </c:pt>
                <c:pt idx="40">
                  <c:v>6.7082039324993694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97-934D-A8E6-4DCA69517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559647"/>
        <c:axId val="1979656959"/>
      </c:lineChart>
      <c:catAx>
        <c:axId val="1903559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79656959"/>
        <c:crosses val="autoZero"/>
        <c:auto val="1"/>
        <c:lblAlgn val="ctr"/>
        <c:lblOffset val="100"/>
        <c:noMultiLvlLbl val="0"/>
      </c:catAx>
      <c:valAx>
        <c:axId val="197965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0355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График функции </a:t>
            </a:r>
            <a:r>
              <a:rPr lang="en-US"/>
              <a:t>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Лист3!$B$1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Лист3!$B$2:$B$42</c:f>
              <c:numCache>
                <c:formatCode>General</c:formatCode>
                <c:ptCount val="41"/>
                <c:pt idx="0">
                  <c:v>0.55555555555555558</c:v>
                </c:pt>
                <c:pt idx="1">
                  <c:v>0.56082725060827254</c:v>
                </c:pt>
                <c:pt idx="2">
                  <c:v>0.5668449197860963</c:v>
                </c:pt>
                <c:pt idx="3">
                  <c:v>0.57374631268436582</c:v>
                </c:pt>
                <c:pt idx="4">
                  <c:v>0.58169934640522869</c:v>
                </c:pt>
                <c:pt idx="5">
                  <c:v>0.59090909090909094</c:v>
                </c:pt>
                <c:pt idx="6">
                  <c:v>0.60162601626016265</c:v>
                </c:pt>
                <c:pt idx="7">
                  <c:v>0.61415525114155256</c:v>
                </c:pt>
                <c:pt idx="8">
                  <c:v>0.62886597938144329</c:v>
                </c:pt>
                <c:pt idx="9">
                  <c:v>0.64619883040935666</c:v>
                </c:pt>
                <c:pt idx="10">
                  <c:v>0.66666666666666663</c:v>
                </c:pt>
                <c:pt idx="11">
                  <c:v>0.69083969465648853</c:v>
                </c:pt>
                <c:pt idx="12">
                  <c:v>0.7192982456140351</c:v>
                </c:pt>
                <c:pt idx="13">
                  <c:v>0.75252525252525249</c:v>
                </c:pt>
                <c:pt idx="14">
                  <c:v>0.79069767441860472</c:v>
                </c:pt>
                <c:pt idx="15">
                  <c:v>0.83333333333333337</c:v>
                </c:pt>
                <c:pt idx="16">
                  <c:v>0.87878787878787878</c:v>
                </c:pt>
                <c:pt idx="17">
                  <c:v>0.92372881355932213</c:v>
                </c:pt>
                <c:pt idx="18">
                  <c:v>0.96296296296296291</c:v>
                </c:pt>
                <c:pt idx="19">
                  <c:v>0.99019607843137258</c:v>
                </c:pt>
                <c:pt idx="20">
                  <c:v>1</c:v>
                </c:pt>
                <c:pt idx="21">
                  <c:v>0.99019607843137258</c:v>
                </c:pt>
                <c:pt idx="22">
                  <c:v>0.96296296296296291</c:v>
                </c:pt>
                <c:pt idx="23">
                  <c:v>0.92372881355932179</c:v>
                </c:pt>
                <c:pt idx="24">
                  <c:v>0.87878787878787867</c:v>
                </c:pt>
                <c:pt idx="25">
                  <c:v>0.83333333333333337</c:v>
                </c:pt>
                <c:pt idx="26">
                  <c:v>0.79069767441860461</c:v>
                </c:pt>
                <c:pt idx="27">
                  <c:v>0.75252525252525249</c:v>
                </c:pt>
                <c:pt idx="28">
                  <c:v>0.71929824561403499</c:v>
                </c:pt>
                <c:pt idx="29">
                  <c:v>0.69083969465648842</c:v>
                </c:pt>
                <c:pt idx="30">
                  <c:v>0.66666666666666663</c:v>
                </c:pt>
                <c:pt idx="31">
                  <c:v>0.64619883040935666</c:v>
                </c:pt>
                <c:pt idx="32">
                  <c:v>0.62886597938144329</c:v>
                </c:pt>
                <c:pt idx="33">
                  <c:v>0.61415525114155245</c:v>
                </c:pt>
                <c:pt idx="34">
                  <c:v>0.60162601626016254</c:v>
                </c:pt>
                <c:pt idx="35">
                  <c:v>0.59090909090909094</c:v>
                </c:pt>
                <c:pt idx="36">
                  <c:v>0.58169934640522869</c:v>
                </c:pt>
                <c:pt idx="37">
                  <c:v>0.57374631268436582</c:v>
                </c:pt>
                <c:pt idx="38">
                  <c:v>0.56684491978609619</c:v>
                </c:pt>
                <c:pt idx="39">
                  <c:v>0.56082725060827254</c:v>
                </c:pt>
                <c:pt idx="40">
                  <c:v>0.55555555555555558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C1-FA40-8DC7-0E61CBE3D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7904591"/>
        <c:axId val="1869358751"/>
      </c:lineChart>
      <c:catAx>
        <c:axId val="1987904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869358751"/>
        <c:crosses val="autoZero"/>
        <c:auto val="1"/>
        <c:lblAlgn val="ctr"/>
        <c:lblOffset val="100"/>
        <c:noMultiLvlLbl val="0"/>
      </c:catAx>
      <c:valAx>
        <c:axId val="186935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8790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1" u="none" strike="noStrike" baseline="0">
                <a:effectLst/>
              </a:rPr>
              <a:t>График функции</a:t>
            </a:r>
            <a:r>
              <a:rPr lang="ru-RU" sz="1400" b="0" i="0" u="none" strike="noStrike" baseline="0">
                <a:effectLst/>
              </a:rPr>
              <a:t> 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092683529154755"/>
          <c:y val="0.14455407969639472"/>
          <c:w val="0.79802532222676026"/>
          <c:h val="0.6922580645161290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Лист5!$B$2:$B$52</c:f>
              <c:numCache>
                <c:formatCode>General</c:formatCode>
                <c:ptCount val="51"/>
                <c:pt idx="0">
                  <c:v>-6.2402514691557114</c:v>
                </c:pt>
                <c:pt idx="1">
                  <c:v>-6.0076938336406789</c:v>
                </c:pt>
                <c:pt idx="2">
                  <c:v>-5.7719613831624814</c:v>
                </c:pt>
                <c:pt idx="3">
                  <c:v>-5.5325235504701364</c:v>
                </c:pt>
                <c:pt idx="4">
                  <c:v>-5.2887145650499203</c:v>
                </c:pt>
                <c:pt idx="5">
                  <c:v>-5.0396841995794919</c:v>
                </c:pt>
                <c:pt idx="6">
                  <c:v>-4.784323859612865</c:v>
                </c:pt>
                <c:pt idx="7">
                  <c:v>-4.5211514543684208</c:v>
                </c:pt>
                <c:pt idx="8">
                  <c:v>-4.2481237392772835</c:v>
                </c:pt>
                <c:pt idx="9">
                  <c:v>-3.9623126986735517</c:v>
                </c:pt>
                <c:pt idx="10">
                  <c:v>-3.6593057100229709</c:v>
                </c:pt>
                <c:pt idx="11">
                  <c:v>-3.3319816742015829</c:v>
                </c:pt>
                <c:pt idx="12">
                  <c:v>-2.9676524659492198</c:v>
                </c:pt>
                <c:pt idx="13">
                  <c:v>-2.5398416831491191</c:v>
                </c:pt>
                <c:pt idx="14">
                  <c:v>-1.9736544806437935</c:v>
                </c:pt>
                <c:pt idx="15">
                  <c:v>0</c:v>
                </c:pt>
                <c:pt idx="16">
                  <c:v>1.8878261354784729</c:v>
                </c:pt>
                <c:pt idx="17">
                  <c:v>2.323514293425482</c:v>
                </c:pt>
                <c:pt idx="18">
                  <c:v>2.5960492265533355</c:v>
                </c:pt>
                <c:pt idx="19">
                  <c:v>2.7863279071530465</c:v>
                </c:pt>
                <c:pt idx="20">
                  <c:v>2.9240177382128656</c:v>
                </c:pt>
                <c:pt idx="21">
                  <c:v>3.0238105197476957</c:v>
                </c:pt>
                <c:pt idx="22">
                  <c:v>3.0941965651333931</c:v>
                </c:pt>
                <c:pt idx="23">
                  <c:v>3.1405697642158761</c:v>
                </c:pt>
                <c:pt idx="24">
                  <c:v>3.1665792527424461</c:v>
                </c:pt>
                <c:pt idx="25">
                  <c:v>3.1748021039363987</c:v>
                </c:pt>
                <c:pt idx="26">
                  <c:v>3.1671110487475307</c:v>
                </c:pt>
                <c:pt idx="27">
                  <c:v>3.1448896730506757</c:v>
                </c:pt>
                <c:pt idx="28">
                  <c:v>3.1091646933170054</c:v>
                </c:pt>
                <c:pt idx="29">
                  <c:v>3.0606898924358221</c:v>
                </c:pt>
                <c:pt idx="30">
                  <c:v>2.9999999999999996</c:v>
                </c:pt>
                <c:pt idx="31">
                  <c:v>2.9274445680183767</c:v>
                </c:pt>
                <c:pt idx="32">
                  <c:v>2.8432073794614792</c:v>
                </c:pt>
                <c:pt idx="33">
                  <c:v>2.7473141821279961</c:v>
                </c:pt>
                <c:pt idx="34">
                  <c:v>2.6396295776575482</c:v>
                </c:pt>
                <c:pt idx="35">
                  <c:v>2.5198420997897459</c:v>
                </c:pt>
                <c:pt idx="36">
                  <c:v>2.3874343247378351</c:v>
                </c:pt>
                <c:pt idx="37">
                  <c:v>2.2416314645243092</c:v>
                </c:pt>
                <c:pt idx="38">
                  <c:v>2.0813157355833223</c:v>
                </c:pt>
                <c:pt idx="39">
                  <c:v>1.9048812623618387</c:v>
                </c:pt>
                <c:pt idx="40">
                  <c:v>1.7099759466766968</c:v>
                </c:pt>
                <c:pt idx="41">
                  <c:v>1.4930044627268981</c:v>
                </c:pt>
                <c:pt idx="42">
                  <c:v>1.248050293831142</c:v>
                </c:pt>
                <c:pt idx="43">
                  <c:v>0.9640569056700925</c:v>
                </c:pt>
                <c:pt idx="44">
                  <c:v>0.61446336513716804</c:v>
                </c:pt>
                <c:pt idx="45">
                  <c:v>0</c:v>
                </c:pt>
                <c:pt idx="46">
                  <c:v>0.6282761304782809</c:v>
                </c:pt>
                <c:pt idx="47">
                  <c:v>1.0079368399158992</c:v>
                </c:pt>
                <c:pt idx="48">
                  <c:v>1.3343880543415916</c:v>
                </c:pt>
                <c:pt idx="49">
                  <c:v>1.6326620407669403</c:v>
                </c:pt>
                <c:pt idx="50">
                  <c:v>1.9129311827723889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0C-9B4B-A303-04543C261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9459151"/>
        <c:axId val="228402608"/>
      </c:lineChart>
      <c:catAx>
        <c:axId val="1989459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28402608"/>
        <c:crosses val="autoZero"/>
        <c:auto val="1"/>
        <c:lblAlgn val="ctr"/>
        <c:lblOffset val="100"/>
        <c:noMultiLvlLbl val="0"/>
      </c:catAx>
      <c:valAx>
        <c:axId val="22840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8945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1" u="none" strike="noStrike" baseline="0">
                <a:effectLst/>
              </a:rPr>
              <a:t>График функции</a:t>
            </a:r>
            <a:r>
              <a:rPr lang="ru-RU" sz="1400" b="0" i="0" u="none" strike="noStrike" baseline="0">
                <a:effectLst/>
              </a:rPr>
              <a:t> 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Лист6!$B$2:$B$52</c:f>
              <c:numCache>
                <c:formatCode>General</c:formatCode>
                <c:ptCount val="51"/>
                <c:pt idx="0">
                  <c:v>0.57534246575342463</c:v>
                </c:pt>
                <c:pt idx="1">
                  <c:v>0.50464839094159697</c:v>
                </c:pt>
                <c:pt idx="2">
                  <c:v>0.43357189329863349</c:v>
                </c:pt>
                <c:pt idx="3">
                  <c:v>0.36205420827389456</c:v>
                </c:pt>
                <c:pt idx="4">
                  <c:v>0.29002356637863325</c:v>
                </c:pt>
                <c:pt idx="5">
                  <c:v>0.21739130434782608</c:v>
                </c:pt>
                <c:pt idx="6">
                  <c:v>0.14404646660212955</c:v>
                </c:pt>
                <c:pt idx="7">
                  <c:v>6.9848156182212309E-2</c:v>
                </c:pt>
                <c:pt idx="8">
                  <c:v>-5.3855569155445999E-3</c:v>
                </c:pt>
                <c:pt idx="9">
                  <c:v>-8.189415041782723E-2</c:v>
                </c:pt>
                <c:pt idx="10">
                  <c:v>-0.16</c:v>
                </c:pt>
                <c:pt idx="11">
                  <c:v>-0.24014869888475845</c:v>
                </c:pt>
                <c:pt idx="12">
                  <c:v>-0.32297592997811825</c:v>
                </c:pt>
                <c:pt idx="13">
                  <c:v>-0.40942408376963352</c:v>
                </c:pt>
                <c:pt idx="14">
                  <c:v>-0.50095846645367414</c:v>
                </c:pt>
                <c:pt idx="15">
                  <c:v>-0.6</c:v>
                </c:pt>
                <c:pt idx="16">
                  <c:v>-0.71088082901554417</c:v>
                </c:pt>
                <c:pt idx="17">
                  <c:v>-0.84225352112676077</c:v>
                </c:pt>
                <c:pt idx="18">
                  <c:v>-1.0144329896907218</c:v>
                </c:pt>
                <c:pt idx="19">
                  <c:v>-1.2896551724137937</c:v>
                </c:pt>
                <c:pt idx="20">
                  <c:v>-2</c:v>
                </c:pt>
                <c:pt idx="21">
                  <c:v>12.599999999999838</c:v>
                </c:pt>
                <c:pt idx="22">
                  <c:v>6.9565217391302378E-2</c:v>
                </c:pt>
                <c:pt idx="23">
                  <c:v>-0.51578947368421135</c:v>
                </c:pt>
                <c:pt idx="24">
                  <c:v>-0.79148936170212847</c:v>
                </c:pt>
                <c:pt idx="25">
                  <c:v>-1</c:v>
                </c:pt>
                <c:pt idx="26">
                  <c:v>-1.2085106382978725</c:v>
                </c:pt>
                <c:pt idx="27">
                  <c:v>-1.4842105263157901</c:v>
                </c:pt>
                <c:pt idx="28">
                  <c:v>-2.0695652173913071</c:v>
                </c:pt>
                <c:pt idx="29">
                  <c:v>-14.600000000000593</c:v>
                </c:pt>
                <c:pt idx="30">
                  <c:v>0</c:v>
                </c:pt>
                <c:pt idx="31">
                  <c:v>-0.71034482758620721</c:v>
                </c:pt>
                <c:pt idx="32">
                  <c:v>-0.98556701030927885</c:v>
                </c:pt>
                <c:pt idx="33">
                  <c:v>-1.1577464788732401</c:v>
                </c:pt>
                <c:pt idx="34">
                  <c:v>-1.2891191709844563</c:v>
                </c:pt>
                <c:pt idx="35">
                  <c:v>-1.4</c:v>
                </c:pt>
                <c:pt idx="36">
                  <c:v>-1.4990415335463261</c:v>
                </c:pt>
                <c:pt idx="37">
                  <c:v>-1.5905759162303665</c:v>
                </c:pt>
                <c:pt idx="38">
                  <c:v>-1.6770240700218821</c:v>
                </c:pt>
                <c:pt idx="39">
                  <c:v>-1.7598513011152419</c:v>
                </c:pt>
                <c:pt idx="40">
                  <c:v>-1.84</c:v>
                </c:pt>
                <c:pt idx="41">
                  <c:v>-1.9181058495821732</c:v>
                </c:pt>
                <c:pt idx="42">
                  <c:v>-1.9946144430844552</c:v>
                </c:pt>
                <c:pt idx="43">
                  <c:v>-2.069848156182212</c:v>
                </c:pt>
                <c:pt idx="44">
                  <c:v>-2.1440464666021302</c:v>
                </c:pt>
                <c:pt idx="45">
                  <c:v>-2.2173913043478262</c:v>
                </c:pt>
                <c:pt idx="46">
                  <c:v>-2.2900235663786335</c:v>
                </c:pt>
                <c:pt idx="47">
                  <c:v>-2.3620542082738942</c:v>
                </c:pt>
                <c:pt idx="48">
                  <c:v>-2.4335718932986343</c:v>
                </c:pt>
                <c:pt idx="49">
                  <c:v>-2.5046483909415973</c:v>
                </c:pt>
                <c:pt idx="50">
                  <c:v>-2.5753424657534247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C-FE42-977D-C07728ED0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463232"/>
        <c:axId val="841378879"/>
      </c:lineChart>
      <c:catAx>
        <c:axId val="175463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841378879"/>
        <c:crosses val="autoZero"/>
        <c:auto val="1"/>
        <c:lblAlgn val="ctr"/>
        <c:lblOffset val="100"/>
        <c:noMultiLvlLbl val="0"/>
      </c:catAx>
      <c:valAx>
        <c:axId val="84137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7546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1" u="none" strike="noStrike" baseline="0">
                <a:effectLst/>
              </a:rPr>
              <a:t>График функции</a:t>
            </a:r>
            <a:r>
              <a:rPr lang="ru-RU" sz="1400" b="0" i="0" u="none" strike="noStrike" baseline="0">
                <a:effectLst/>
              </a:rPr>
              <a:t> 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Лист7!$B$2:$B$52</c:f>
              <c:numCache>
                <c:formatCode>General</c:formatCode>
                <c:ptCount val="51"/>
                <c:pt idx="0">
                  <c:v>7.1414284285428504</c:v>
                </c:pt>
                <c:pt idx="1">
                  <c:v>6.8614867193633771</c:v>
                </c:pt>
                <c:pt idx="2">
                  <c:v>6.5817930687617334</c:v>
                </c:pt>
                <c:pt idx="3">
                  <c:v>6.3023805026354927</c:v>
                </c:pt>
                <c:pt idx="4">
                  <c:v>6.0232881385502388</c:v>
                </c:pt>
                <c:pt idx="5">
                  <c:v>5.7445626465380286</c:v>
                </c:pt>
                <c:pt idx="6">
                  <c:v>5.4662601474865795</c:v>
                </c:pt>
                <c:pt idx="7">
                  <c:v>5.1884487084291386</c:v>
                </c:pt>
                <c:pt idx="8">
                  <c:v>4.9112116631234697</c:v>
                </c:pt>
                <c:pt idx="9">
                  <c:v>4.6346520905025876</c:v>
                </c:pt>
                <c:pt idx="10">
                  <c:v>4.358898943540674</c:v>
                </c:pt>
                <c:pt idx="11">
                  <c:v>4.0841155713324273</c:v>
                </c:pt>
                <c:pt idx="12">
                  <c:v>3.8105117766515297</c:v>
                </c:pt>
                <c:pt idx="13">
                  <c:v>3.5383612025908264</c:v>
                </c:pt>
                <c:pt idx="14">
                  <c:v>3.2680269276736382</c:v>
                </c:pt>
                <c:pt idx="15">
                  <c:v>3</c:v>
                </c:pt>
                <c:pt idx="16">
                  <c:v>2.7349588662354685</c:v>
                </c:pt>
                <c:pt idx="17">
                  <c:v>2.4738633753705956</c:v>
                </c:pt>
                <c:pt idx="18">
                  <c:v>2.2181073012818833</c:v>
                </c:pt>
                <c:pt idx="19">
                  <c:v>1.9697715603592205</c:v>
                </c:pt>
                <c:pt idx="20">
                  <c:v>1.7320508075688772</c:v>
                </c:pt>
                <c:pt idx="21">
                  <c:v>1.5099668870541498</c:v>
                </c:pt>
                <c:pt idx="22">
                  <c:v>1.3114877048603999</c:v>
                </c:pt>
                <c:pt idx="23">
                  <c:v>1.1489125293076055</c:v>
                </c:pt>
                <c:pt idx="24">
                  <c:v>1.039230484541326</c:v>
                </c:pt>
                <c:pt idx="25">
                  <c:v>1</c:v>
                </c:pt>
                <c:pt idx="26">
                  <c:v>0.52065357768524878</c:v>
                </c:pt>
                <c:pt idx="27">
                  <c:v>0.59429617107406207</c:v>
                </c:pt>
                <c:pt idx="28">
                  <c:v>0.66303066386817733</c:v>
                </c:pt>
                <c:pt idx="29">
                  <c:v>0.72653216913164009</c:v>
                </c:pt>
                <c:pt idx="30">
                  <c:v>0.78455260171953733</c:v>
                </c:pt>
                <c:pt idx="31">
                  <c:v>0.83692664516485848</c:v>
                </c:pt>
                <c:pt idx="32">
                  <c:v>0.88357251870981435</c:v>
                </c:pt>
                <c:pt idx="33">
                  <c:v>0.9244882491152776</c:v>
                </c:pt>
                <c:pt idx="34">
                  <c:v>0.95974453760137723</c:v>
                </c:pt>
                <c:pt idx="35">
                  <c:v>0.98947543624030876</c:v>
                </c:pt>
                <c:pt idx="36">
                  <c:v>1.0138679628916869</c:v>
                </c:pt>
                <c:pt idx="37">
                  <c:v>1.0331515717523154</c:v>
                </c:pt>
                <c:pt idx="38">
                  <c:v>1.0475881373856013</c:v>
                </c:pt>
                <c:pt idx="39">
                  <c:v>1.0574628619947666</c:v>
                </c:pt>
                <c:pt idx="40">
                  <c:v>1.0630763112088886</c:v>
                </c:pt>
                <c:pt idx="41">
                  <c:v>1.064737633801295</c:v>
                </c:pt>
                <c:pt idx="42">
                  <c:v>1.0627589226936216</c:v>
                </c:pt>
                <c:pt idx="43">
                  <c:v>1.0574506186253181</c:v>
                </c:pt>
                <c:pt idx="44">
                  <c:v>1.0491178324873207</c:v>
                </c:pt>
                <c:pt idx="45">
                  <c:v>1.0380574570574079</c:v>
                </c:pt>
                <c:pt idx="46">
                  <c:v>1.0245559454694944</c:v>
                </c:pt>
                <c:pt idx="47">
                  <c:v>1.0088876463140777</c:v>
                </c:pt>
                <c:pt idx="48">
                  <c:v>0.99131359996803969</c:v>
                </c:pt>
                <c:pt idx="49">
                  <c:v>0.97208071531767137</c:v>
                </c:pt>
                <c:pt idx="50">
                  <c:v>0.95142125928486032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7A-F749-818A-6D836DDA5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220608"/>
        <c:axId val="175564928"/>
      </c:lineChart>
      <c:catAx>
        <c:axId val="125220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75564928"/>
        <c:crosses val="autoZero"/>
        <c:auto val="1"/>
        <c:lblAlgn val="ctr"/>
        <c:lblOffset val="100"/>
        <c:noMultiLvlLbl val="0"/>
      </c:catAx>
      <c:valAx>
        <c:axId val="17556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2522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Эллипс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Лист8!$B$1</c:f>
              <c:strCache>
                <c:ptCount val="1"/>
                <c:pt idx="0">
                  <c:v>y=3*√(4-x^2)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Лист8!$B$2:$B$22</c:f>
              <c:numCache>
                <c:formatCode>General</c:formatCode>
                <c:ptCount val="21"/>
                <c:pt idx="0">
                  <c:v>0</c:v>
                </c:pt>
                <c:pt idx="1">
                  <c:v>2.6153393661244038</c:v>
                </c:pt>
                <c:pt idx="2">
                  <c:v>3.5999999999999992</c:v>
                </c:pt>
                <c:pt idx="3">
                  <c:v>4.2848570571257101</c:v>
                </c:pt>
                <c:pt idx="4">
                  <c:v>4.8000000000000007</c:v>
                </c:pt>
                <c:pt idx="5">
                  <c:v>5.196152422706632</c:v>
                </c:pt>
                <c:pt idx="6">
                  <c:v>5.4990908339470082</c:v>
                </c:pt>
                <c:pt idx="7">
                  <c:v>5.7236352085016744</c:v>
                </c:pt>
                <c:pt idx="8">
                  <c:v>5.8787753826796276</c:v>
                </c:pt>
                <c:pt idx="9">
                  <c:v>5.96992462263972</c:v>
                </c:pt>
                <c:pt idx="10">
                  <c:v>6</c:v>
                </c:pt>
                <c:pt idx="11">
                  <c:v>5.96992462263972</c:v>
                </c:pt>
                <c:pt idx="12">
                  <c:v>5.8787753826796276</c:v>
                </c:pt>
                <c:pt idx="13">
                  <c:v>5.7236352085016744</c:v>
                </c:pt>
                <c:pt idx="14">
                  <c:v>5.4990908339470073</c:v>
                </c:pt>
                <c:pt idx="15">
                  <c:v>5.196152422706632</c:v>
                </c:pt>
                <c:pt idx="16">
                  <c:v>4.8</c:v>
                </c:pt>
                <c:pt idx="17">
                  <c:v>4.2848570571257092</c:v>
                </c:pt>
                <c:pt idx="18">
                  <c:v>3.5999999999999992</c:v>
                </c:pt>
                <c:pt idx="19">
                  <c:v>2.6153393661244024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49-D048-BA03-7B564293954C}"/>
            </c:ext>
          </c:extLst>
        </c:ser>
        <c:ser>
          <c:idx val="1"/>
          <c:order val="1"/>
          <c:tx>
            <c:strRef>
              <c:f>Лист8!$C$1</c:f>
              <c:strCache>
                <c:ptCount val="1"/>
                <c:pt idx="0">
                  <c:v>y=-3*√(4-x^2)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Лист8!$C$2:$C$22</c:f>
              <c:numCache>
                <c:formatCode>General</c:formatCode>
                <c:ptCount val="21"/>
                <c:pt idx="0">
                  <c:v>0</c:v>
                </c:pt>
                <c:pt idx="1">
                  <c:v>-2.6153393661244038</c:v>
                </c:pt>
                <c:pt idx="2">
                  <c:v>-3.5999999999999992</c:v>
                </c:pt>
                <c:pt idx="3">
                  <c:v>-4.2848570571257101</c:v>
                </c:pt>
                <c:pt idx="4">
                  <c:v>-4.8000000000000007</c:v>
                </c:pt>
                <c:pt idx="5">
                  <c:v>-5.196152422706632</c:v>
                </c:pt>
                <c:pt idx="6">
                  <c:v>-5.4990908339470082</c:v>
                </c:pt>
                <c:pt idx="7">
                  <c:v>-5.7236352085016744</c:v>
                </c:pt>
                <c:pt idx="8">
                  <c:v>-5.8787753826796276</c:v>
                </c:pt>
                <c:pt idx="9">
                  <c:v>-5.96992462263972</c:v>
                </c:pt>
                <c:pt idx="10">
                  <c:v>-6</c:v>
                </c:pt>
                <c:pt idx="11">
                  <c:v>-5.96992462263972</c:v>
                </c:pt>
                <c:pt idx="12">
                  <c:v>-5.8787753826796276</c:v>
                </c:pt>
                <c:pt idx="13">
                  <c:v>-5.7236352085016744</c:v>
                </c:pt>
                <c:pt idx="14">
                  <c:v>-5.4990908339470073</c:v>
                </c:pt>
                <c:pt idx="15">
                  <c:v>-5.196152422706632</c:v>
                </c:pt>
                <c:pt idx="16">
                  <c:v>-4.8</c:v>
                </c:pt>
                <c:pt idx="17">
                  <c:v>-4.2848570571257092</c:v>
                </c:pt>
                <c:pt idx="18">
                  <c:v>-3.5999999999999992</c:v>
                </c:pt>
                <c:pt idx="19">
                  <c:v>-2.6153393661244024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49-D048-BA03-7B5642939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1668751"/>
        <c:axId val="224196352"/>
      </c:lineChart>
      <c:catAx>
        <c:axId val="651668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24196352"/>
        <c:crosses val="autoZero"/>
        <c:auto val="1"/>
        <c:lblAlgn val="ctr"/>
        <c:lblOffset val="100"/>
        <c:noMultiLvlLbl val="0"/>
      </c:catAx>
      <c:valAx>
        <c:axId val="22419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5166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284480</xdr:colOff>
      <xdr:row>0</xdr:row>
      <xdr:rowOff>110913</xdr:rowOff>
    </xdr:from>
    <xdr:to>
      <xdr:col>12</xdr:col>
      <xdr:colOff>627380</xdr:colOff>
      <xdr:row>3</xdr:row>
      <xdr:rowOff>184989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98C5949-8250-6336-11A7-7AB98DC0F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93440" y="110913"/>
          <a:ext cx="7749540" cy="683676"/>
        </a:xfrm>
        <a:prstGeom prst="rect">
          <a:avLst/>
        </a:prstGeom>
      </xdr:spPr>
    </xdr:pic>
    <xdr:clientData/>
  </xdr:twoCellAnchor>
  <xdr:twoCellAnchor>
    <xdr:from>
      <xdr:col>3</xdr:col>
      <xdr:colOff>629226</xdr:colOff>
      <xdr:row>6</xdr:row>
      <xdr:rowOff>71583</xdr:rowOff>
    </xdr:from>
    <xdr:to>
      <xdr:col>9</xdr:col>
      <xdr:colOff>567650</xdr:colOff>
      <xdr:row>21</xdr:row>
      <xdr:rowOff>153939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84F29482-4A0E-F457-3B40-E3EA704EF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88900</xdr:colOff>
      <xdr:row>0</xdr:row>
      <xdr:rowOff>0</xdr:rowOff>
    </xdr:from>
    <xdr:to>
      <xdr:col>12</xdr:col>
      <xdr:colOff>431800</xdr:colOff>
      <xdr:row>4</xdr:row>
      <xdr:rowOff>110226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1ED78B8-5CDC-55B0-7EC5-940BAB0AF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0"/>
          <a:ext cx="7772400" cy="923026"/>
        </a:xfrm>
        <a:prstGeom prst="rect">
          <a:avLst/>
        </a:prstGeom>
      </xdr:spPr>
    </xdr:pic>
    <xdr:clientData/>
  </xdr:twoCellAnchor>
  <xdr:twoCellAnchor>
    <xdr:from>
      <xdr:col>3</xdr:col>
      <xdr:colOff>393700</xdr:colOff>
      <xdr:row>6</xdr:row>
      <xdr:rowOff>139700</xdr:rowOff>
    </xdr:from>
    <xdr:to>
      <xdr:col>12</xdr:col>
      <xdr:colOff>393700</xdr:colOff>
      <xdr:row>28</xdr:row>
      <xdr:rowOff>25400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0152C5F-9A21-DFD5-0BF4-71A6B1DA2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21132</xdr:colOff>
      <xdr:row>27</xdr:row>
      <xdr:rowOff>179606</xdr:rowOff>
    </xdr:from>
    <xdr:to>
      <xdr:col>9</xdr:col>
      <xdr:colOff>476858</xdr:colOff>
      <xdr:row>41</xdr:row>
      <xdr:rowOff>74141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72FCACE-DEAD-A0AB-6082-FEBC3CBBC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3165</xdr:colOff>
      <xdr:row>14</xdr:row>
      <xdr:rowOff>47818</xdr:rowOff>
    </xdr:from>
    <xdr:to>
      <xdr:col>9</xdr:col>
      <xdr:colOff>460365</xdr:colOff>
      <xdr:row>27</xdr:row>
      <xdr:rowOff>153283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472303B-1CFC-886A-4246-E20E15CE1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7730</xdr:colOff>
      <xdr:row>0</xdr:row>
      <xdr:rowOff>40124</xdr:rowOff>
    </xdr:from>
    <xdr:to>
      <xdr:col>9</xdr:col>
      <xdr:colOff>431064</xdr:colOff>
      <xdr:row>13</xdr:row>
      <xdr:rowOff>141724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105DE55-84D8-DC4B-A5DA-C2EA6A6F8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23126</xdr:rowOff>
    </xdr:from>
    <xdr:to>
      <xdr:col>8</xdr:col>
      <xdr:colOff>463331</xdr:colOff>
      <xdr:row>9</xdr:row>
      <xdr:rowOff>3481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CB509BC-1A56-8E7D-77C5-89108EB96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326"/>
          <a:ext cx="7791231" cy="5899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203200</xdr:colOff>
      <xdr:row>0</xdr:row>
      <xdr:rowOff>38100</xdr:rowOff>
    </xdr:from>
    <xdr:to>
      <xdr:col>7</xdr:col>
      <xdr:colOff>596900</xdr:colOff>
      <xdr:row>3</xdr:row>
      <xdr:rowOff>101600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66931F0-D7D3-CB58-84F0-F48349D45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0100" y="38100"/>
          <a:ext cx="4521200" cy="673100"/>
        </a:xfrm>
        <a:prstGeom prst="rect">
          <a:avLst/>
        </a:prstGeom>
      </xdr:spPr>
    </xdr:pic>
    <xdr:clientData/>
  </xdr:twoCellAnchor>
  <xdr:twoCellAnchor>
    <xdr:from>
      <xdr:col>2</xdr:col>
      <xdr:colOff>361950</xdr:colOff>
      <xdr:row>6</xdr:row>
      <xdr:rowOff>95250</xdr:rowOff>
    </xdr:from>
    <xdr:to>
      <xdr:col>8</xdr:col>
      <xdr:colOff>673100</xdr:colOff>
      <xdr:row>22</xdr:row>
      <xdr:rowOff>190500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9AC917D-591F-F982-F6D7-AB9C88FC9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5</xdr:col>
      <xdr:colOff>203200</xdr:colOff>
      <xdr:row>21</xdr:row>
      <xdr:rowOff>38100</xdr:rowOff>
    </xdr:from>
    <xdr:ext cx="241926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B637951-BBC0-48E8-3624-13F8D787218F}"/>
            </a:ext>
          </a:extLst>
        </xdr:cNvPr>
        <xdr:cNvSpPr txBox="1"/>
      </xdr:nvSpPr>
      <xdr:spPr>
        <a:xfrm>
          <a:off x="4546600" y="4305300"/>
          <a:ext cx="2419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x</a:t>
          </a:r>
          <a:endParaRPr lang="ru-RU" sz="1100"/>
        </a:p>
      </xdr:txBody>
    </xdr:sp>
    <xdr:clientData/>
  </xdr:one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0.01206</cdr:x>
      <cdr:y>0.40987</cdr:y>
    </cdr:from>
    <cdr:to>
      <cdr:x>0.06996</cdr:x>
      <cdr:y>0.48956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4AC5055-4EDA-5B1F-A878-73E4740DE03E}"/>
            </a:ext>
          </a:extLst>
        </cdr:cNvPr>
        <cdr:cNvSpPr txBox="1"/>
      </cdr:nvSpPr>
      <cdr:spPr>
        <a:xfrm xmlns:a="http://schemas.openxmlformats.org/drawingml/2006/main" rot="16200000">
          <a:off x="82550" y="1352550"/>
          <a:ext cx="26670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y</a:t>
          </a:r>
          <a:endParaRPr lang="ru-RU" sz="1100" kern="12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63500</xdr:colOff>
      <xdr:row>0</xdr:row>
      <xdr:rowOff>101600</xdr:rowOff>
    </xdr:from>
    <xdr:to>
      <xdr:col>6</xdr:col>
      <xdr:colOff>165100</xdr:colOff>
      <xdr:row>3</xdr:row>
      <xdr:rowOff>114300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CD08F9A-41F5-59E0-CA5A-23522EB6E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0" y="101600"/>
          <a:ext cx="2578100" cy="6223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5</xdr:row>
      <xdr:rowOff>171450</xdr:rowOff>
    </xdr:from>
    <xdr:to>
      <xdr:col>7</xdr:col>
      <xdr:colOff>711200</xdr:colOff>
      <xdr:row>19</xdr:row>
      <xdr:rowOff>69850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FB4FEA1-BB4C-CB8A-7CDF-9801E5BC7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800100</xdr:colOff>
      <xdr:row>0</xdr:row>
      <xdr:rowOff>12700</xdr:rowOff>
    </xdr:from>
    <xdr:to>
      <xdr:col>6</xdr:col>
      <xdr:colOff>596900</xdr:colOff>
      <xdr:row>6</xdr:row>
      <xdr:rowOff>63500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2F6B52F-2361-DB32-22DA-73F3821BB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3600" y="12700"/>
          <a:ext cx="3098800" cy="1270000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9</xdr:row>
      <xdr:rowOff>19050</xdr:rowOff>
    </xdr:from>
    <xdr:to>
      <xdr:col>8</xdr:col>
      <xdr:colOff>215900</xdr:colOff>
      <xdr:row>22</xdr:row>
      <xdr:rowOff>114300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13EA381-188A-8225-1D87-9BDEC447C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0</xdr:row>
      <xdr:rowOff>165100</xdr:rowOff>
    </xdr:from>
    <xdr:to>
      <xdr:col>6</xdr:col>
      <xdr:colOff>203200</xdr:colOff>
      <xdr:row>3</xdr:row>
      <xdr:rowOff>114300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ADC623F-A7C7-9AF9-EDD6-B6FE227F8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8900" y="165100"/>
          <a:ext cx="2527300" cy="558800"/>
        </a:xfrm>
        <a:prstGeom prst="rect">
          <a:avLst/>
        </a:prstGeom>
      </xdr:spPr>
    </xdr:pic>
    <xdr:clientData/>
  </xdr:twoCellAnchor>
  <xdr:twoCellAnchor>
    <xdr:from>
      <xdr:col>3</xdr:col>
      <xdr:colOff>127000</xdr:colOff>
      <xdr:row>5</xdr:row>
      <xdr:rowOff>19050</xdr:rowOff>
    </xdr:from>
    <xdr:to>
      <xdr:col>8</xdr:col>
      <xdr:colOff>571500</xdr:colOff>
      <xdr:row>18</xdr:row>
      <xdr:rowOff>120650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AF34B2A-0273-53FF-8102-B2F2B13B0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177801</xdr:colOff>
      <xdr:row>1</xdr:row>
      <xdr:rowOff>37134</xdr:rowOff>
    </xdr:from>
    <xdr:ext cx="4597399" cy="95346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8E7621-AE03-8680-3969-6BA2F8AD3FB2}"/>
            </a:ext>
          </a:extLst>
        </xdr:cNvPr>
        <xdr:cNvSpPr txBox="1"/>
      </xdr:nvSpPr>
      <xdr:spPr>
        <a:xfrm>
          <a:off x="5130801" y="240334"/>
          <a:ext cx="4597399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l"/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 трёх железнодорожных станциях А1, А2 и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A3 </a:t>
          </a: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скопилось 120, 110 и 130 незагруженных вагонов. Эти вагоны необходимо перегнать на железнодорожные станции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B1, </a:t>
          </a: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В2, В3, В4 и В5. На каждой из этих станций потребность в вагонах соответственно равна 80, 60, 70, 100 и 50. Тарифы перегонки одного вагона определяются матрицей</a:t>
          </a:r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DA2E-569C-304B-A238-7AA6969E1BE5}">
  <dimension ref="A1:C47"/>
  <sheetViews>
    <sheetView zoomScale="125" zoomScaleNormal="200" workbookViewId="0">
      <selection activeCell="G33" sqref="G33"/>
    </sheetView>
  </sheetViews>
  <sheetFormatPr baseColWidth="10" defaultRowHeight="16" x14ac:dyDescent="0.2"/>
  <cols>
    <col min="3" max="3" width="19.1640625" customWidth="1"/>
  </cols>
  <sheetData>
    <row r="1" spans="1:3" x14ac:dyDescent="0.2">
      <c r="A1" t="s">
        <v>2</v>
      </c>
      <c r="B1" t="s">
        <v>3</v>
      </c>
      <c r="C1" t="s">
        <v>4</v>
      </c>
    </row>
    <row r="2" spans="1:3" x14ac:dyDescent="0.2">
      <c r="A2">
        <v>90</v>
      </c>
      <c r="B2">
        <f>RADIANS(90)</f>
        <v>1.5707963267948966</v>
      </c>
      <c r="C2">
        <f>TAN(B2)/3+COS(B2)</f>
        <v>5443746451065123</v>
      </c>
    </row>
    <row r="3" spans="1:3" x14ac:dyDescent="0.2">
      <c r="A3">
        <v>92</v>
      </c>
      <c r="B3">
        <f>RADIANS(92)</f>
        <v>1.6057029118347832</v>
      </c>
      <c r="C3">
        <f t="shared" ref="C3:C47" si="0">TAN(B3)/3+COS(B3)</f>
        <v>-9.5803172576743734</v>
      </c>
    </row>
    <row r="4" spans="1:3" x14ac:dyDescent="0.2">
      <c r="A4">
        <v>94</v>
      </c>
      <c r="B4">
        <f>RADIANS(94)</f>
        <v>1.6406094968746698</v>
      </c>
      <c r="C4">
        <f t="shared" si="0"/>
        <v>-4.8366452259814317</v>
      </c>
    </row>
    <row r="5" spans="1:3" x14ac:dyDescent="0.2">
      <c r="A5">
        <v>96</v>
      </c>
      <c r="B5">
        <f>RADIANS(96)</f>
        <v>1.6755160819145565</v>
      </c>
      <c r="C5">
        <f t="shared" si="0"/>
        <v>-3.2759832813418459</v>
      </c>
    </row>
    <row r="6" spans="1:3" x14ac:dyDescent="0.2">
      <c r="A6">
        <v>98</v>
      </c>
      <c r="B6">
        <f>RADIANS(98)</f>
        <v>1.7104226669544429</v>
      </c>
      <c r="C6">
        <f t="shared" si="0"/>
        <v>-2.51096300842147</v>
      </c>
    </row>
    <row r="7" spans="1:3" x14ac:dyDescent="0.2">
      <c r="A7">
        <v>100</v>
      </c>
      <c r="B7">
        <f>RADIANS(A7)</f>
        <v>1.7453292519943295</v>
      </c>
      <c r="C7">
        <f t="shared" si="0"/>
        <v>-2.0640754508728341</v>
      </c>
    </row>
    <row r="8" spans="1:3" x14ac:dyDescent="0.2">
      <c r="A8">
        <v>102</v>
      </c>
      <c r="B8">
        <f t="shared" ref="B8:B47" si="1">RADIANS(A8)</f>
        <v>1.7802358370342162</v>
      </c>
      <c r="C8">
        <f t="shared" si="0"/>
        <v>-1.7761217273105776</v>
      </c>
    </row>
    <row r="9" spans="1:3" x14ac:dyDescent="0.2">
      <c r="A9">
        <v>104</v>
      </c>
      <c r="B9">
        <f t="shared" si="1"/>
        <v>1.8151424220741028</v>
      </c>
      <c r="C9">
        <f t="shared" si="0"/>
        <v>-1.5788488734449491</v>
      </c>
    </row>
    <row r="10" spans="1:3" x14ac:dyDescent="0.2">
      <c r="A10">
        <v>106</v>
      </c>
      <c r="B10">
        <f t="shared" si="1"/>
        <v>1.8500490071139892</v>
      </c>
      <c r="C10">
        <f t="shared" si="0"/>
        <v>-1.4381088370973025</v>
      </c>
    </row>
    <row r="11" spans="1:3" x14ac:dyDescent="0.2">
      <c r="A11">
        <v>108</v>
      </c>
      <c r="B11">
        <f t="shared" si="1"/>
        <v>1.8849555921538759</v>
      </c>
      <c r="C11">
        <f t="shared" si="0"/>
        <v>-1.3349115067666988</v>
      </c>
    </row>
    <row r="12" spans="1:3" x14ac:dyDescent="0.2">
      <c r="A12">
        <v>110</v>
      </c>
      <c r="B12">
        <f t="shared" si="1"/>
        <v>1.9198621771937625</v>
      </c>
      <c r="C12">
        <f t="shared" si="0"/>
        <v>-1.257845949810543</v>
      </c>
    </row>
    <row r="13" spans="1:3" x14ac:dyDescent="0.2">
      <c r="A13">
        <v>112</v>
      </c>
      <c r="B13">
        <f t="shared" si="1"/>
        <v>1.9547687622336491</v>
      </c>
      <c r="C13">
        <f t="shared" si="0"/>
        <v>-1.1996355445546771</v>
      </c>
    </row>
    <row r="14" spans="1:3" x14ac:dyDescent="0.2">
      <c r="A14">
        <v>114</v>
      </c>
      <c r="B14">
        <f t="shared" si="1"/>
        <v>1.9896753472735358</v>
      </c>
      <c r="C14">
        <f t="shared" si="0"/>
        <v>-1.1554155677105387</v>
      </c>
    </row>
    <row r="15" spans="1:3" x14ac:dyDescent="0.2">
      <c r="A15">
        <v>116</v>
      </c>
      <c r="B15">
        <f t="shared" si="1"/>
        <v>2.0245819323134224</v>
      </c>
      <c r="C15">
        <f t="shared" si="0"/>
        <v>-1.1218057606488427</v>
      </c>
    </row>
    <row r="16" spans="1:3" x14ac:dyDescent="0.2">
      <c r="A16">
        <v>118</v>
      </c>
      <c r="B16">
        <f t="shared" si="1"/>
        <v>2.0594885173533091</v>
      </c>
      <c r="C16">
        <f t="shared" si="0"/>
        <v>-1.0963803845680014</v>
      </c>
    </row>
    <row r="17" spans="1:3" x14ac:dyDescent="0.2">
      <c r="A17">
        <v>120</v>
      </c>
      <c r="B17">
        <f t="shared" si="1"/>
        <v>2.0943951023931953</v>
      </c>
      <c r="C17">
        <f t="shared" si="0"/>
        <v>-1.077350269189626</v>
      </c>
    </row>
    <row r="18" spans="1:3" x14ac:dyDescent="0.2">
      <c r="A18">
        <v>122</v>
      </c>
      <c r="B18">
        <f t="shared" si="1"/>
        <v>2.1293016874330819</v>
      </c>
      <c r="C18">
        <f t="shared" si="0"/>
        <v>-1.0633641072468885</v>
      </c>
    </row>
    <row r="19" spans="1:3" x14ac:dyDescent="0.2">
      <c r="A19">
        <v>124</v>
      </c>
      <c r="B19">
        <f t="shared" si="1"/>
        <v>2.1642082724729685</v>
      </c>
      <c r="C19">
        <f t="shared" si="0"/>
        <v>-1.0533798929749936</v>
      </c>
    </row>
    <row r="20" spans="1:3" x14ac:dyDescent="0.2">
      <c r="A20">
        <v>126</v>
      </c>
      <c r="B20">
        <f t="shared" si="1"/>
        <v>2.1991148575128552</v>
      </c>
      <c r="C20">
        <f t="shared" si="0"/>
        <v>-1.0465792257828643</v>
      </c>
    </row>
    <row r="21" spans="1:3" x14ac:dyDescent="0.2">
      <c r="A21">
        <v>128</v>
      </c>
      <c r="B21">
        <f t="shared" si="1"/>
        <v>2.2340214425527418</v>
      </c>
      <c r="C21">
        <f t="shared" si="0"/>
        <v>-1.0423086860566846</v>
      </c>
    </row>
    <row r="22" spans="1:3" x14ac:dyDescent="0.2">
      <c r="A22">
        <v>130</v>
      </c>
      <c r="B22">
        <f t="shared" si="1"/>
        <v>2.2689280275926285</v>
      </c>
      <c r="C22">
        <f t="shared" si="0"/>
        <v>-1.0400388072179427</v>
      </c>
    </row>
    <row r="23" spans="1:3" x14ac:dyDescent="0.2">
      <c r="A23">
        <v>132</v>
      </c>
      <c r="B23">
        <f t="shared" si="1"/>
        <v>2.3038346126325151</v>
      </c>
      <c r="C23">
        <f t="shared" si="0"/>
        <v>-1.0393347779685891</v>
      </c>
    </row>
    <row r="24" spans="1:3" x14ac:dyDescent="0.2">
      <c r="A24">
        <v>134</v>
      </c>
      <c r="B24">
        <f t="shared" si="1"/>
        <v>2.3387411976724017</v>
      </c>
      <c r="C24">
        <f t="shared" si="0"/>
        <v>-1.0398351417225205</v>
      </c>
    </row>
    <row r="25" spans="1:3" x14ac:dyDescent="0.2">
      <c r="A25">
        <v>136</v>
      </c>
      <c r="B25">
        <f t="shared" si="1"/>
        <v>2.3736477827122884</v>
      </c>
      <c r="C25">
        <f t="shared" si="0"/>
        <v>-1.0412360586076759</v>
      </c>
    </row>
    <row r="26" spans="1:3" x14ac:dyDescent="0.2">
      <c r="A26">
        <v>138</v>
      </c>
      <c r="B26">
        <f t="shared" si="1"/>
        <v>2.4085543677521746</v>
      </c>
      <c r="C26">
        <f t="shared" si="0"/>
        <v>-1.0432795069100074</v>
      </c>
    </row>
    <row r="27" spans="1:3" x14ac:dyDescent="0.2">
      <c r="A27">
        <v>140</v>
      </c>
      <c r="B27">
        <f t="shared" si="1"/>
        <v>2.4434609527920612</v>
      </c>
      <c r="C27">
        <f t="shared" si="0"/>
        <v>-1.0457443201780714</v>
      </c>
    </row>
    <row r="28" spans="1:3" x14ac:dyDescent="0.2">
      <c r="A28">
        <v>142</v>
      </c>
      <c r="B28">
        <f t="shared" si="1"/>
        <v>2.4783675378319479</v>
      </c>
      <c r="C28">
        <f t="shared" si="0"/>
        <v>-1.0484392957756277</v>
      </c>
    </row>
    <row r="29" spans="1:3" x14ac:dyDescent="0.2">
      <c r="A29">
        <v>144</v>
      </c>
      <c r="B29">
        <f t="shared" si="1"/>
        <v>2.5132741228718345</v>
      </c>
      <c r="C29">
        <f t="shared" si="0"/>
        <v>-1.051197837043401</v>
      </c>
    </row>
    <row r="30" spans="1:3" x14ac:dyDescent="0.2">
      <c r="A30">
        <v>146</v>
      </c>
      <c r="B30">
        <f t="shared" si="1"/>
        <v>2.5481807079117211</v>
      </c>
      <c r="C30">
        <f t="shared" si="0"/>
        <v>-1.0538737448358506</v>
      </c>
    </row>
    <row r="31" spans="1:3" x14ac:dyDescent="0.2">
      <c r="A31">
        <v>148</v>
      </c>
      <c r="B31">
        <f t="shared" si="1"/>
        <v>2.5830872929516078</v>
      </c>
      <c r="C31">
        <f t="shared" si="0"/>
        <v>-1.0563378801262018</v>
      </c>
    </row>
    <row r="32" spans="1:3" x14ac:dyDescent="0.2">
      <c r="A32">
        <v>150</v>
      </c>
      <c r="B32">
        <f t="shared" si="1"/>
        <v>2.6179938779914944</v>
      </c>
      <c r="C32">
        <f t="shared" si="0"/>
        <v>-1.0584754935143139</v>
      </c>
    </row>
    <row r="33" spans="1:3" x14ac:dyDescent="0.2">
      <c r="A33">
        <v>152</v>
      </c>
      <c r="B33">
        <f t="shared" si="1"/>
        <v>2.6529004630313811</v>
      </c>
      <c r="C33">
        <f t="shared" si="0"/>
        <v>-1.0601840700794198</v>
      </c>
    </row>
    <row r="34" spans="1:3" x14ac:dyDescent="0.2">
      <c r="A34">
        <v>154</v>
      </c>
      <c r="B34">
        <f t="shared" si="1"/>
        <v>2.6878070480712677</v>
      </c>
      <c r="C34">
        <f t="shared" si="0"/>
        <v>-1.0613715758211208</v>
      </c>
    </row>
    <row r="35" spans="1:3" x14ac:dyDescent="0.2">
      <c r="A35">
        <v>156</v>
      </c>
      <c r="B35">
        <f t="shared" si="1"/>
        <v>2.7227136331111539</v>
      </c>
      <c r="C35">
        <f t="shared" si="0"/>
        <v>-1.061955019412113</v>
      </c>
    </row>
    <row r="36" spans="1:3" x14ac:dyDescent="0.2">
      <c r="A36">
        <v>158</v>
      </c>
      <c r="B36">
        <f t="shared" si="1"/>
        <v>2.7576202181510405</v>
      </c>
      <c r="C36">
        <f t="shared" si="0"/>
        <v>-1.0618592631785064</v>
      </c>
    </row>
    <row r="37" spans="1:3" x14ac:dyDescent="0.2">
      <c r="A37">
        <v>160</v>
      </c>
      <c r="B37">
        <f t="shared" si="1"/>
        <v>2.7925268031909272</v>
      </c>
      <c r="C37">
        <f t="shared" si="0"/>
        <v>-1.0610160322079758</v>
      </c>
    </row>
    <row r="38" spans="1:3" x14ac:dyDescent="0.2">
      <c r="A38">
        <v>162</v>
      </c>
      <c r="B38">
        <f t="shared" si="1"/>
        <v>2.8274333882308138</v>
      </c>
      <c r="C38">
        <f t="shared" si="0"/>
        <v>-1.0593630817061224</v>
      </c>
    </row>
    <row r="39" spans="1:3" x14ac:dyDescent="0.2">
      <c r="A39">
        <v>164</v>
      </c>
      <c r="B39">
        <f t="shared" si="1"/>
        <v>2.8623399732707004</v>
      </c>
      <c r="C39">
        <f t="shared" si="0"/>
        <v>-1.056843491191255</v>
      </c>
    </row>
    <row r="40" spans="1:3" x14ac:dyDescent="0.2">
      <c r="A40">
        <v>166</v>
      </c>
      <c r="B40">
        <f t="shared" si="1"/>
        <v>2.8972465583105871</v>
      </c>
      <c r="C40">
        <f t="shared" si="0"/>
        <v>-1.0534050605570566</v>
      </c>
    </row>
    <row r="41" spans="1:3" x14ac:dyDescent="0.2">
      <c r="A41">
        <v>168</v>
      </c>
      <c r="B41">
        <f t="shared" si="1"/>
        <v>2.9321531433504737</v>
      </c>
      <c r="C41">
        <f t="shared" si="0"/>
        <v>-1.0489997879571464</v>
      </c>
    </row>
    <row r="42" spans="1:3" x14ac:dyDescent="0.2">
      <c r="A42">
        <v>170</v>
      </c>
      <c r="B42">
        <f t="shared" si="1"/>
        <v>2.9670597283903604</v>
      </c>
      <c r="C42">
        <f t="shared" si="0"/>
        <v>-1.043583413248363</v>
      </c>
    </row>
    <row r="43" spans="1:3" x14ac:dyDescent="0.2">
      <c r="A43">
        <v>172</v>
      </c>
      <c r="B43">
        <f t="shared" si="1"/>
        <v>3.001966313430247</v>
      </c>
      <c r="C43">
        <f t="shared" si="0"/>
        <v>-1.0371150136423675</v>
      </c>
    </row>
    <row r="44" spans="1:3" x14ac:dyDescent="0.2">
      <c r="A44">
        <v>174</v>
      </c>
      <c r="B44">
        <f t="shared" si="1"/>
        <v>3.0368728984701332</v>
      </c>
      <c r="C44">
        <f t="shared" si="0"/>
        <v>-1.0295566404568322</v>
      </c>
    </row>
    <row r="45" spans="1:3" x14ac:dyDescent="0.2">
      <c r="A45">
        <v>176</v>
      </c>
      <c r="B45">
        <f t="shared" si="1"/>
        <v>3.0717794835100198</v>
      </c>
      <c r="C45">
        <f t="shared" si="0"/>
        <v>-1.0208729875743277</v>
      </c>
    </row>
    <row r="46" spans="1:3" x14ac:dyDescent="0.2">
      <c r="A46">
        <v>178</v>
      </c>
      <c r="B46">
        <f t="shared" si="1"/>
        <v>3.1066860685499065</v>
      </c>
      <c r="C46">
        <f t="shared" si="0"/>
        <v>-1.011031083516345</v>
      </c>
    </row>
    <row r="47" spans="1:3" x14ac:dyDescent="0.2">
      <c r="A47">
        <v>180</v>
      </c>
      <c r="B47">
        <f t="shared" si="1"/>
        <v>3.1415926535897931</v>
      </c>
      <c r="C47">
        <f t="shared" si="0"/>
        <v>-1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4F6F-C762-3F4A-A437-FA3B77B6D941}">
  <dimension ref="A1:C40"/>
  <sheetViews>
    <sheetView zoomScale="91" workbookViewId="0">
      <selection activeCell="B5" sqref="B5:B6"/>
    </sheetView>
  </sheetViews>
  <sheetFormatPr baseColWidth="10" defaultRowHeight="16" x14ac:dyDescent="0.2"/>
  <cols>
    <col min="1" max="1" width="17.33203125" customWidth="1"/>
    <col min="2" max="2" width="19.83203125" customWidth="1"/>
    <col min="3" max="3" width="23.1640625" customWidth="1"/>
  </cols>
  <sheetData>
    <row r="1" spans="1:3" x14ac:dyDescent="0.2">
      <c r="A1" s="1" t="s">
        <v>0</v>
      </c>
      <c r="B1" s="1" t="s">
        <v>1</v>
      </c>
      <c r="C1" s="1" t="s">
        <v>5</v>
      </c>
    </row>
    <row r="2" spans="1:3" x14ac:dyDescent="0.2">
      <c r="A2" s="1">
        <v>-1.6</v>
      </c>
      <c r="B2" s="1">
        <f>SIN(2*PI()*A2)*COS(PI()*A2)+SIN(3*PI()*A2)</f>
        <v>-0.40614962029113355</v>
      </c>
      <c r="C2" s="1">
        <f>COS(2*PI()*A2)*SIN(PI()*A2)^2-COS(4*PI()*A2)</f>
        <v>-1.0407797401561591</v>
      </c>
    </row>
    <row r="3" spans="1:3" x14ac:dyDescent="0.2">
      <c r="A3" s="1">
        <v>-1.5</v>
      </c>
      <c r="B3" s="1">
        <f t="shared" ref="B3:B40" si="0">SIN(2*PI()*A3)*COS(PI()*A3)+SIN(3*PI()*A3)</f>
        <v>-1</v>
      </c>
      <c r="C3" s="1">
        <f t="shared" ref="C3:C40" si="1">COS(2*PI()*A3)*SIN(PI()*A3)^2-COS(4*PI()*A3)</f>
        <v>-2</v>
      </c>
    </row>
    <row r="4" spans="1:3" x14ac:dyDescent="0.2">
      <c r="A4" s="1">
        <v>-1.4</v>
      </c>
      <c r="B4" s="1">
        <f t="shared" si="0"/>
        <v>-0.40614962029113233</v>
      </c>
      <c r="C4" s="1">
        <f t="shared" si="1"/>
        <v>-1.0407797401561572</v>
      </c>
    </row>
    <row r="5" spans="1:3" x14ac:dyDescent="0.2">
      <c r="A5" s="1">
        <v>-1.3</v>
      </c>
      <c r="B5" s="1">
        <f t="shared" si="0"/>
        <v>0.86803398874989546</v>
      </c>
      <c r="C5" s="1">
        <f t="shared" si="1"/>
        <v>0.60676274578121114</v>
      </c>
    </row>
    <row r="6" spans="1:3" x14ac:dyDescent="0.2">
      <c r="A6" s="1">
        <v>-1.2</v>
      </c>
      <c r="B6" s="1">
        <f t="shared" si="0"/>
        <v>1.7204774005889671</v>
      </c>
      <c r="C6" s="1">
        <f t="shared" si="1"/>
        <v>0.91577974015615771</v>
      </c>
    </row>
    <row r="7" spans="1:3" x14ac:dyDescent="0.2">
      <c r="A7" s="1">
        <v>-1.1000000000000001</v>
      </c>
      <c r="B7" s="1">
        <f t="shared" si="0"/>
        <v>1.3680339887498949</v>
      </c>
      <c r="C7" s="1">
        <f t="shared" si="1"/>
        <v>-0.23176274578120926</v>
      </c>
    </row>
    <row r="8" spans="1:3" x14ac:dyDescent="0.2">
      <c r="A8" s="1">
        <v>-0.999999999999999</v>
      </c>
      <c r="B8" s="1">
        <f t="shared" si="0"/>
        <v>-1.5711356534475805E-14</v>
      </c>
      <c r="C8" s="1">
        <f t="shared" si="1"/>
        <v>-1</v>
      </c>
    </row>
    <row r="9" spans="1:3" x14ac:dyDescent="0.2">
      <c r="A9" s="1">
        <v>-0.89999999999999902</v>
      </c>
      <c r="B9" s="1">
        <f t="shared" si="0"/>
        <v>-1.3680339887499047</v>
      </c>
      <c r="C9" s="1">
        <f t="shared" si="1"/>
        <v>-0.23176274578119715</v>
      </c>
    </row>
    <row r="10" spans="1:3" x14ac:dyDescent="0.2">
      <c r="A10" s="1">
        <v>-0.79999999999999905</v>
      </c>
      <c r="B10" s="1">
        <f t="shared" si="0"/>
        <v>-1.720477400588964</v>
      </c>
      <c r="C10" s="1">
        <f t="shared" si="1"/>
        <v>0.91577974015616437</v>
      </c>
    </row>
    <row r="11" spans="1:3" x14ac:dyDescent="0.2">
      <c r="A11" s="1">
        <v>-0.69999999999999896</v>
      </c>
      <c r="B11" s="1">
        <f t="shared" si="0"/>
        <v>-0.8680339887498818</v>
      </c>
      <c r="C11" s="1">
        <f t="shared" si="1"/>
        <v>0.60676274578119815</v>
      </c>
    </row>
    <row r="12" spans="1:3" x14ac:dyDescent="0.2">
      <c r="A12" s="1">
        <v>-0.6</v>
      </c>
      <c r="B12" s="1">
        <f t="shared" si="0"/>
        <v>0.40614962029113322</v>
      </c>
      <c r="C12" s="1">
        <f t="shared" si="1"/>
        <v>-1.0407797401561585</v>
      </c>
    </row>
    <row r="13" spans="1:3" x14ac:dyDescent="0.2">
      <c r="A13" s="1">
        <v>-0.5</v>
      </c>
      <c r="B13" s="1">
        <f t="shared" si="0"/>
        <v>1</v>
      </c>
      <c r="C13" s="1">
        <f t="shared" si="1"/>
        <v>-2</v>
      </c>
    </row>
    <row r="14" spans="1:3" x14ac:dyDescent="0.2">
      <c r="A14" s="1">
        <v>-0.4</v>
      </c>
      <c r="B14" s="1">
        <f t="shared" si="0"/>
        <v>0.40614962029113277</v>
      </c>
      <c r="C14" s="1">
        <f t="shared" si="1"/>
        <v>-1.0407797401561576</v>
      </c>
    </row>
    <row r="15" spans="1:3" x14ac:dyDescent="0.2">
      <c r="A15" s="1">
        <v>-0.3</v>
      </c>
      <c r="B15" s="1">
        <f t="shared" si="0"/>
        <v>-0.8680339887498949</v>
      </c>
      <c r="C15" s="1">
        <f t="shared" si="1"/>
        <v>0.60676274578121059</v>
      </c>
    </row>
    <row r="16" spans="1:3" x14ac:dyDescent="0.2">
      <c r="A16" s="1">
        <v>-0.2</v>
      </c>
      <c r="B16" s="1">
        <f t="shared" si="0"/>
        <v>-1.7204774005889671</v>
      </c>
      <c r="C16" s="1">
        <f t="shared" si="1"/>
        <v>0.91577974015615793</v>
      </c>
    </row>
    <row r="17" spans="1:3" x14ac:dyDescent="0.2">
      <c r="A17" s="1">
        <v>-0.1</v>
      </c>
      <c r="B17" s="1">
        <f t="shared" si="0"/>
        <v>-1.3680339887498949</v>
      </c>
      <c r="C17" s="1">
        <f t="shared" si="1"/>
        <v>-0.23176274578121059</v>
      </c>
    </row>
    <row r="18" spans="1:3" x14ac:dyDescent="0.2">
      <c r="A18" s="1">
        <v>0</v>
      </c>
      <c r="B18" s="1">
        <f t="shared" si="0"/>
        <v>0</v>
      </c>
      <c r="C18" s="1">
        <f t="shared" si="1"/>
        <v>-1</v>
      </c>
    </row>
    <row r="19" spans="1:3" x14ac:dyDescent="0.2">
      <c r="A19" s="1">
        <v>9.9999999999999895E-2</v>
      </c>
      <c r="B19" s="1">
        <f t="shared" si="0"/>
        <v>1.3680339887498936</v>
      </c>
      <c r="C19" s="1">
        <f t="shared" si="1"/>
        <v>-0.23176274578121198</v>
      </c>
    </row>
    <row r="20" spans="1:3" x14ac:dyDescent="0.2">
      <c r="A20" s="1">
        <v>0.2</v>
      </c>
      <c r="B20" s="1">
        <f t="shared" si="0"/>
        <v>1.7204774005889671</v>
      </c>
      <c r="C20" s="1">
        <f t="shared" si="1"/>
        <v>0.91577974015615793</v>
      </c>
    </row>
    <row r="21" spans="1:3" x14ac:dyDescent="0.2">
      <c r="A21" s="1">
        <v>0.3</v>
      </c>
      <c r="B21" s="1">
        <f t="shared" si="0"/>
        <v>0.8680339887498949</v>
      </c>
      <c r="C21" s="1">
        <f t="shared" si="1"/>
        <v>0.60676274578121059</v>
      </c>
    </row>
    <row r="22" spans="1:3" x14ac:dyDescent="0.2">
      <c r="A22" s="1">
        <v>0.4</v>
      </c>
      <c r="B22" s="1">
        <f t="shared" si="0"/>
        <v>-0.40614962029113277</v>
      </c>
      <c r="C22" s="1">
        <f t="shared" si="1"/>
        <v>-1.0407797401561576</v>
      </c>
    </row>
    <row r="23" spans="1:3" x14ac:dyDescent="0.2">
      <c r="A23" s="1">
        <v>0.5</v>
      </c>
      <c r="B23" s="1">
        <f t="shared" si="0"/>
        <v>-1</v>
      </c>
      <c r="C23" s="1">
        <f t="shared" si="1"/>
        <v>-2</v>
      </c>
    </row>
    <row r="24" spans="1:3" x14ac:dyDescent="0.2">
      <c r="A24" s="1">
        <v>0.6</v>
      </c>
      <c r="B24" s="1">
        <f t="shared" si="0"/>
        <v>-0.40614962029113322</v>
      </c>
      <c r="C24" s="1">
        <f t="shared" si="1"/>
        <v>-1.0407797401561585</v>
      </c>
    </row>
    <row r="25" spans="1:3" x14ac:dyDescent="0.2">
      <c r="A25" s="1">
        <v>0.7</v>
      </c>
      <c r="B25" s="1">
        <f t="shared" si="0"/>
        <v>0.86803398874989446</v>
      </c>
      <c r="C25" s="1">
        <f t="shared" si="1"/>
        <v>0.60676274578121026</v>
      </c>
    </row>
    <row r="26" spans="1:3" x14ac:dyDescent="0.2">
      <c r="A26" s="1">
        <v>0.8</v>
      </c>
      <c r="B26" s="1">
        <f t="shared" si="0"/>
        <v>1.7204774005889667</v>
      </c>
      <c r="C26" s="1">
        <f t="shared" si="1"/>
        <v>0.91577974015615826</v>
      </c>
    </row>
    <row r="27" spans="1:3" x14ac:dyDescent="0.2">
      <c r="A27" s="1">
        <v>0.9</v>
      </c>
      <c r="B27" s="1">
        <f t="shared" si="0"/>
        <v>1.3680339887498953</v>
      </c>
      <c r="C27" s="1">
        <f t="shared" si="1"/>
        <v>-0.23176274578121012</v>
      </c>
    </row>
    <row r="28" spans="1:3" x14ac:dyDescent="0.2">
      <c r="A28" s="1">
        <v>1</v>
      </c>
      <c r="B28" s="1">
        <f t="shared" si="0"/>
        <v>6.1232339957367653E-16</v>
      </c>
      <c r="C28" s="1">
        <f t="shared" si="1"/>
        <v>-1</v>
      </c>
    </row>
    <row r="29" spans="1:3" x14ac:dyDescent="0.2">
      <c r="A29" s="1">
        <v>1.1000000000000001</v>
      </c>
      <c r="B29" s="1">
        <f t="shared" si="0"/>
        <v>-1.3680339887498949</v>
      </c>
      <c r="C29" s="1">
        <f t="shared" si="1"/>
        <v>-0.23176274578120926</v>
      </c>
    </row>
    <row r="30" spans="1:3" x14ac:dyDescent="0.2">
      <c r="A30" s="1">
        <v>1.2</v>
      </c>
      <c r="B30" s="1">
        <f t="shared" si="0"/>
        <v>-1.7204774005889671</v>
      </c>
      <c r="C30" s="1">
        <f t="shared" si="1"/>
        <v>0.91577974015615771</v>
      </c>
    </row>
    <row r="31" spans="1:3" x14ac:dyDescent="0.2">
      <c r="A31" s="1">
        <v>1.3</v>
      </c>
      <c r="B31" s="1">
        <f t="shared" si="0"/>
        <v>-0.86803398874989546</v>
      </c>
      <c r="C31" s="1">
        <f t="shared" si="1"/>
        <v>0.60676274578121114</v>
      </c>
    </row>
    <row r="32" spans="1:3" x14ac:dyDescent="0.2">
      <c r="A32" s="1">
        <v>1.4</v>
      </c>
      <c r="B32" s="1">
        <f t="shared" si="0"/>
        <v>0.40614962029113233</v>
      </c>
      <c r="C32" s="1">
        <f t="shared" si="1"/>
        <v>-1.0407797401561572</v>
      </c>
    </row>
    <row r="33" spans="1:3" x14ac:dyDescent="0.2">
      <c r="A33" s="1">
        <v>1.5</v>
      </c>
      <c r="B33" s="1">
        <f t="shared" si="0"/>
        <v>1</v>
      </c>
      <c r="C33" s="1">
        <f t="shared" si="1"/>
        <v>-2</v>
      </c>
    </row>
    <row r="34" spans="1:3" x14ac:dyDescent="0.2">
      <c r="A34" s="1">
        <v>1.6</v>
      </c>
      <c r="B34" s="1">
        <f t="shared" si="0"/>
        <v>0.40614962029113355</v>
      </c>
      <c r="C34" s="1">
        <f t="shared" si="1"/>
        <v>-1.0407797401561591</v>
      </c>
    </row>
    <row r="35" spans="1:3" x14ac:dyDescent="0.2">
      <c r="A35" s="1">
        <v>1.7</v>
      </c>
      <c r="B35" s="1">
        <f t="shared" si="0"/>
        <v>-0.86803398874989224</v>
      </c>
      <c r="C35" s="1">
        <f t="shared" si="1"/>
        <v>0.6067627457812097</v>
      </c>
    </row>
    <row r="36" spans="1:3" x14ac:dyDescent="0.2">
      <c r="A36" s="1">
        <v>1.8</v>
      </c>
      <c r="B36" s="1">
        <f t="shared" si="0"/>
        <v>-1.7204774005889667</v>
      </c>
      <c r="C36" s="1">
        <f t="shared" si="1"/>
        <v>0.91577974015615837</v>
      </c>
    </row>
    <row r="37" spans="1:3" x14ac:dyDescent="0.2">
      <c r="A37" s="1">
        <v>1.9</v>
      </c>
      <c r="B37" s="1">
        <f t="shared" si="0"/>
        <v>-1.3680339887498967</v>
      </c>
      <c r="C37" s="1">
        <f t="shared" si="1"/>
        <v>-0.23176274578120962</v>
      </c>
    </row>
    <row r="38" spans="1:3" x14ac:dyDescent="0.2">
      <c r="A38" s="1">
        <v>2</v>
      </c>
      <c r="B38" s="1">
        <f t="shared" si="0"/>
        <v>-1.2246467991473531E-15</v>
      </c>
      <c r="C38" s="1">
        <f t="shared" si="1"/>
        <v>-1</v>
      </c>
    </row>
    <row r="39" spans="1:3" x14ac:dyDescent="0.2">
      <c r="A39" s="1">
        <v>2.1</v>
      </c>
      <c r="B39" s="1">
        <f t="shared" si="0"/>
        <v>1.3680339887498949</v>
      </c>
      <c r="C39" s="1">
        <f t="shared" si="1"/>
        <v>-0.23176274578121164</v>
      </c>
    </row>
    <row r="40" spans="1:3" x14ac:dyDescent="0.2">
      <c r="A40" s="1">
        <v>2.2000000000000002</v>
      </c>
      <c r="B40" s="1">
        <f t="shared" si="0"/>
        <v>1.7204774005889671</v>
      </c>
      <c r="C40" s="1">
        <f t="shared" si="1"/>
        <v>0.91577974015615926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6944-D246-3E44-9780-9384982A81D8}">
  <dimension ref="A1:D42"/>
  <sheetViews>
    <sheetView zoomScale="103" workbookViewId="0">
      <selection activeCell="J3" sqref="J3"/>
    </sheetView>
  </sheetViews>
  <sheetFormatPr baseColWidth="10" defaultRowHeight="16" x14ac:dyDescent="0.2"/>
  <cols>
    <col min="2" max="2" width="14.5" customWidth="1"/>
    <col min="3" max="3" width="13.6640625" customWidth="1"/>
    <col min="4" max="4" width="15.33203125" customWidth="1"/>
  </cols>
  <sheetData>
    <row r="1" spans="1:4" x14ac:dyDescent="0.2">
      <c r="A1" s="1" t="s">
        <v>0</v>
      </c>
      <c r="B1" s="1" t="s">
        <v>1</v>
      </c>
      <c r="C1" s="1" t="s">
        <v>6</v>
      </c>
      <c r="D1" s="1" t="s">
        <v>5</v>
      </c>
    </row>
    <row r="2" spans="1:4" x14ac:dyDescent="0.2">
      <c r="A2" s="1">
        <v>-2</v>
      </c>
      <c r="B2" s="1">
        <f>(1+A2^2)/(1+2*A2^2)</f>
        <v>0.55555555555555558</v>
      </c>
      <c r="C2" s="1">
        <f>IF(A2&lt;=0,(3*SIN(A2)-COS(A2)^2),IF(A2&gt;0,3*SQRT(1+A2^2)))</f>
        <v>-2.901070470045239</v>
      </c>
      <c r="D2" s="1">
        <f>IF(A2&lt;=0, (1+A2)/((1+A2^2)^(1/3)), IF(A2&lt;=1, -A2+2*EXP(-2*A2), (ABS(2-A2))^(1/3)))</f>
        <v>-0.58480354764257325</v>
      </c>
    </row>
    <row r="3" spans="1:4" x14ac:dyDescent="0.2">
      <c r="A3" s="1">
        <v>-1.9</v>
      </c>
      <c r="B3" s="1">
        <f t="shared" ref="B3:B42" si="0">(1+A3^2)/(1+2*A3^2)</f>
        <v>0.56082725060827254</v>
      </c>
      <c r="C3" s="1">
        <f t="shared" ref="C3:C42" si="1">IF(A3&lt;=0,(3*SIN(A3)-COS(A3)^2),IF(A3&gt;0,3*SQRT(1+A3^2)))</f>
        <v>-2.943416407105035</v>
      </c>
      <c r="D3" s="1">
        <f t="shared" ref="D3:D42" si="2">IF(A3&lt;=0, (1+A3)/((1+A3^2)^(1/3)), IF(A3&lt;=1, -A3+2*EXP(-2*A3), (ABS(2-A3))^(1/3)))</f>
        <v>-0.54076536445156564</v>
      </c>
    </row>
    <row r="4" spans="1:4" x14ac:dyDescent="0.2">
      <c r="A4" s="1">
        <v>-1.8</v>
      </c>
      <c r="B4" s="1">
        <f t="shared" si="0"/>
        <v>0.5668449197860963</v>
      </c>
      <c r="C4" s="1">
        <f t="shared" si="1"/>
        <v>-2.973163684467512</v>
      </c>
      <c r="D4" s="1">
        <f t="shared" si="2"/>
        <v>-0.49427430577099846</v>
      </c>
    </row>
    <row r="5" spans="1:4" x14ac:dyDescent="0.2">
      <c r="A5" s="1">
        <v>-1.7</v>
      </c>
      <c r="B5" s="1">
        <f t="shared" si="0"/>
        <v>0.57374631268436582</v>
      </c>
      <c r="C5" s="1">
        <f t="shared" si="1"/>
        <v>-2.9915953350676752</v>
      </c>
      <c r="D5" s="1">
        <f t="shared" si="2"/>
        <v>-0.44509034431815531</v>
      </c>
    </row>
    <row r="6" spans="1:4" x14ac:dyDescent="0.2">
      <c r="A6" s="1">
        <v>-1.6</v>
      </c>
      <c r="B6" s="1">
        <f t="shared" si="0"/>
        <v>0.58169934640522869</v>
      </c>
      <c r="C6" s="1">
        <f t="shared" si="1"/>
        <v>-2.9995734212271388</v>
      </c>
      <c r="D6" s="1">
        <f t="shared" si="2"/>
        <v>-0.39294754915857683</v>
      </c>
    </row>
    <row r="7" spans="1:4" x14ac:dyDescent="0.2">
      <c r="A7" s="1">
        <v>-1.5</v>
      </c>
      <c r="B7" s="1">
        <f t="shared" si="0"/>
        <v>0.59090909090909094</v>
      </c>
      <c r="C7" s="1">
        <f t="shared" si="1"/>
        <v>-2.9974887115119406</v>
      </c>
      <c r="D7" s="1">
        <f t="shared" si="2"/>
        <v>-0.33755319058958183</v>
      </c>
    </row>
    <row r="8" spans="1:4" x14ac:dyDescent="0.2">
      <c r="A8" s="1">
        <v>-1.4</v>
      </c>
      <c r="B8" s="1">
        <f t="shared" si="0"/>
        <v>0.60162601626016265</v>
      </c>
      <c r="C8" s="1">
        <f t="shared" si="1"/>
        <v>-2.9852380196310517</v>
      </c>
      <c r="D8" s="1">
        <f t="shared" si="2"/>
        <v>-0.27858822372946518</v>
      </c>
    </row>
    <row r="9" spans="1:4" x14ac:dyDescent="0.2">
      <c r="A9" s="1">
        <v>-1.2999999999999998</v>
      </c>
      <c r="B9" s="1">
        <f t="shared" si="0"/>
        <v>0.61415525114155256</v>
      </c>
      <c r="C9" s="1">
        <f t="shared" si="1"/>
        <v>-2.9622301795671051</v>
      </c>
      <c r="D9" s="1">
        <f t="shared" si="2"/>
        <v>-0.21571010723198264</v>
      </c>
    </row>
    <row r="10" spans="1:4" x14ac:dyDescent="0.2">
      <c r="A10" s="1">
        <v>-1.2</v>
      </c>
      <c r="B10" s="1">
        <f t="shared" si="0"/>
        <v>0.62886597938144329</v>
      </c>
      <c r="C10" s="1">
        <f t="shared" si="1"/>
        <v>-2.927420400131056</v>
      </c>
      <c r="D10" s="1">
        <f t="shared" si="2"/>
        <v>-0.14855937155319293</v>
      </c>
    </row>
    <row r="11" spans="1:4" x14ac:dyDescent="0.2">
      <c r="A11" s="1">
        <v>-1.1000000000000001</v>
      </c>
      <c r="B11" s="1">
        <f t="shared" si="0"/>
        <v>0.64619883040935666</v>
      </c>
      <c r="C11" s="1">
        <f t="shared" si="1"/>
        <v>-2.8793715215566333</v>
      </c>
      <c r="D11" s="1">
        <f t="shared" si="2"/>
        <v>-7.677195064595134E-2</v>
      </c>
    </row>
    <row r="12" spans="1:4" x14ac:dyDescent="0.2">
      <c r="A12" s="1">
        <v>-1</v>
      </c>
      <c r="B12" s="1">
        <f t="shared" si="0"/>
        <v>0.66666666666666663</v>
      </c>
      <c r="C12" s="1">
        <f t="shared" si="1"/>
        <v>-2.8163395361501182</v>
      </c>
      <c r="D12" s="1">
        <f t="shared" si="2"/>
        <v>0</v>
      </c>
    </row>
    <row r="13" spans="1:4" x14ac:dyDescent="0.2">
      <c r="A13" s="1">
        <v>-0.89999999999999991</v>
      </c>
      <c r="B13" s="1">
        <f t="shared" si="0"/>
        <v>0.69083969465648853</v>
      </c>
      <c r="C13" s="1">
        <f t="shared" si="1"/>
        <v>-2.7363796815359063</v>
      </c>
      <c r="D13" s="1">
        <f t="shared" si="2"/>
        <v>8.2055395240515597E-2</v>
      </c>
    </row>
    <row r="14" spans="1:4" x14ac:dyDescent="0.2">
      <c r="A14" s="1">
        <v>-0.79999999999999982</v>
      </c>
      <c r="B14" s="1">
        <f t="shared" si="0"/>
        <v>0.7192982456140351</v>
      </c>
      <c r="C14" s="1">
        <f t="shared" si="1"/>
        <v>-2.6374685115479237</v>
      </c>
      <c r="D14" s="1">
        <f t="shared" si="2"/>
        <v>0.16959591199586493</v>
      </c>
    </row>
    <row r="15" spans="1:4" x14ac:dyDescent="0.2">
      <c r="A15" s="1">
        <v>-0.7</v>
      </c>
      <c r="B15" s="1">
        <f t="shared" si="0"/>
        <v>0.75252525252525249</v>
      </c>
      <c r="C15" s="1">
        <f t="shared" si="1"/>
        <v>-2.5176366331631934</v>
      </c>
      <c r="D15" s="1">
        <f t="shared" si="2"/>
        <v>0.26265912828020233</v>
      </c>
    </row>
    <row r="16" spans="1:4" x14ac:dyDescent="0.2">
      <c r="A16" s="1">
        <v>-0.59999999999999987</v>
      </c>
      <c r="B16" s="1">
        <f t="shared" si="0"/>
        <v>0.79069767441860472</v>
      </c>
      <c r="C16" s="1">
        <f t="shared" si="1"/>
        <v>-2.3751062974234425</v>
      </c>
      <c r="D16" s="1">
        <f t="shared" si="2"/>
        <v>0.3610331011956226</v>
      </c>
    </row>
    <row r="17" spans="1:4" x14ac:dyDescent="0.2">
      <c r="A17" s="1">
        <v>-0.5</v>
      </c>
      <c r="B17" s="1">
        <f t="shared" si="0"/>
        <v>0.83333333333333337</v>
      </c>
      <c r="C17" s="1">
        <f t="shared" si="1"/>
        <v>-2.2084277687466791</v>
      </c>
      <c r="D17" s="1">
        <f t="shared" si="2"/>
        <v>0.46415888336127786</v>
      </c>
    </row>
    <row r="18" spans="1:4" x14ac:dyDescent="0.2">
      <c r="A18" s="1">
        <v>-0.39999999999999991</v>
      </c>
      <c r="B18" s="1">
        <f t="shared" si="0"/>
        <v>0.87878787878787878</v>
      </c>
      <c r="C18" s="1">
        <f t="shared" si="1"/>
        <v>-2.0166083815995339</v>
      </c>
      <c r="D18" s="1">
        <f t="shared" si="2"/>
        <v>0.57103832139319644</v>
      </c>
    </row>
    <row r="19" spans="1:4" x14ac:dyDescent="0.2">
      <c r="A19" s="1">
        <v>-0.29999999999999982</v>
      </c>
      <c r="B19" s="1">
        <f t="shared" si="0"/>
        <v>0.92372881355932213</v>
      </c>
      <c r="C19" s="1">
        <f t="shared" si="1"/>
        <v>-1.7992284274388575</v>
      </c>
      <c r="D19" s="1">
        <f t="shared" si="2"/>
        <v>0.68017793720240305</v>
      </c>
    </row>
    <row r="20" spans="1:4" x14ac:dyDescent="0.2">
      <c r="A20" s="1">
        <v>-0.19999999999999996</v>
      </c>
      <c r="B20" s="1">
        <f t="shared" si="0"/>
        <v>0.96296296296296291</v>
      </c>
      <c r="C20" s="1">
        <f t="shared" si="1"/>
        <v>-1.5565384893866261</v>
      </c>
      <c r="D20" s="1">
        <f t="shared" si="2"/>
        <v>0.78960921349942859</v>
      </c>
    </row>
    <row r="21" spans="1:4" x14ac:dyDescent="0.2">
      <c r="A21" s="1">
        <v>-9.9999999999999867E-2</v>
      </c>
      <c r="B21" s="1">
        <f t="shared" si="0"/>
        <v>0.99019607843137258</v>
      </c>
      <c r="C21" s="1">
        <f t="shared" si="1"/>
        <v>-1.2895335388611051</v>
      </c>
      <c r="D21" s="1">
        <f t="shared" si="2"/>
        <v>0.89701984572960525</v>
      </c>
    </row>
    <row r="22" spans="1:4" x14ac:dyDescent="0.2">
      <c r="A22" s="1">
        <v>0</v>
      </c>
      <c r="B22" s="1">
        <f t="shared" si="0"/>
        <v>1</v>
      </c>
      <c r="C22" s="1">
        <f t="shared" si="1"/>
        <v>-1</v>
      </c>
      <c r="D22" s="1">
        <f t="shared" si="2"/>
        <v>1</v>
      </c>
    </row>
    <row r="23" spans="1:4" x14ac:dyDescent="0.2">
      <c r="A23" s="1">
        <v>0.10000000000000009</v>
      </c>
      <c r="B23" s="1">
        <f t="shared" si="0"/>
        <v>0.99019607843137258</v>
      </c>
      <c r="C23" s="1">
        <f t="shared" si="1"/>
        <v>3.0149626863362666</v>
      </c>
      <c r="D23" s="1">
        <f t="shared" si="2"/>
        <v>1.5374615061559633</v>
      </c>
    </row>
    <row r="24" spans="1:4" x14ac:dyDescent="0.2">
      <c r="A24" s="1">
        <v>0.20000000000000018</v>
      </c>
      <c r="B24" s="1">
        <f t="shared" si="0"/>
        <v>0.96296296296296291</v>
      </c>
      <c r="C24" s="1">
        <f t="shared" si="1"/>
        <v>3.0594117081556709</v>
      </c>
      <c r="D24" s="1">
        <f t="shared" si="2"/>
        <v>1.140640092071278</v>
      </c>
    </row>
    <row r="25" spans="1:4" x14ac:dyDescent="0.2">
      <c r="A25" s="1">
        <v>0.30000000000000027</v>
      </c>
      <c r="B25" s="1">
        <f t="shared" si="0"/>
        <v>0.92372881355932179</v>
      </c>
      <c r="C25" s="1">
        <f t="shared" si="1"/>
        <v>3.1320919526731652</v>
      </c>
      <c r="D25" s="1">
        <f t="shared" si="2"/>
        <v>0.79762327218805207</v>
      </c>
    </row>
    <row r="26" spans="1:4" x14ac:dyDescent="0.2">
      <c r="A26" s="1">
        <v>0.40000000000000036</v>
      </c>
      <c r="B26" s="1">
        <f t="shared" si="0"/>
        <v>0.87878787878787867</v>
      </c>
      <c r="C26" s="1">
        <f t="shared" si="1"/>
        <v>3.2310988842807031</v>
      </c>
      <c r="D26" s="1">
        <f t="shared" si="2"/>
        <v>0.49865792823444222</v>
      </c>
    </row>
    <row r="27" spans="1:4" x14ac:dyDescent="0.2">
      <c r="A27" s="1">
        <v>0.5</v>
      </c>
      <c r="B27" s="1">
        <f t="shared" si="0"/>
        <v>0.83333333333333337</v>
      </c>
      <c r="C27" s="1">
        <f t="shared" si="1"/>
        <v>3.3541019662496847</v>
      </c>
      <c r="D27" s="1">
        <f t="shared" si="2"/>
        <v>0.23575888234288467</v>
      </c>
    </row>
    <row r="28" spans="1:4" x14ac:dyDescent="0.2">
      <c r="A28" s="1">
        <v>0.60000000000000009</v>
      </c>
      <c r="B28" s="1">
        <f t="shared" si="0"/>
        <v>0.79069767441860461</v>
      </c>
      <c r="C28" s="1">
        <f t="shared" si="1"/>
        <v>3.4985711369071808</v>
      </c>
      <c r="D28" s="1">
        <f t="shared" si="2"/>
        <v>2.3884238244039624E-3</v>
      </c>
    </row>
    <row r="29" spans="1:4" x14ac:dyDescent="0.2">
      <c r="A29" s="1">
        <v>0.70000000000000018</v>
      </c>
      <c r="B29" s="1">
        <f t="shared" si="0"/>
        <v>0.75252525252525249</v>
      </c>
      <c r="C29" s="1">
        <f t="shared" si="1"/>
        <v>3.6619666847201109</v>
      </c>
      <c r="D29" s="1">
        <f t="shared" si="2"/>
        <v>-0.20680607211678742</v>
      </c>
    </row>
    <row r="30" spans="1:4" x14ac:dyDescent="0.2">
      <c r="A30" s="1">
        <v>0.80000000000000027</v>
      </c>
      <c r="B30" s="1">
        <f t="shared" si="0"/>
        <v>0.71929824561403499</v>
      </c>
      <c r="C30" s="1">
        <f t="shared" si="1"/>
        <v>3.8418745424597098</v>
      </c>
      <c r="D30" s="1">
        <f t="shared" si="2"/>
        <v>-0.39620696401068967</v>
      </c>
    </row>
    <row r="31" spans="1:4" x14ac:dyDescent="0.2">
      <c r="A31" s="1">
        <v>0.90000000000000036</v>
      </c>
      <c r="B31" s="1">
        <f t="shared" si="0"/>
        <v>0.69083969465648842</v>
      </c>
      <c r="C31" s="1">
        <f t="shared" si="1"/>
        <v>4.0360872141221131</v>
      </c>
      <c r="D31" s="1">
        <f t="shared" si="2"/>
        <v>-0.56940222355682746</v>
      </c>
    </row>
    <row r="32" spans="1:4" x14ac:dyDescent="0.2">
      <c r="A32" s="1">
        <v>1</v>
      </c>
      <c r="B32" s="1">
        <f t="shared" si="0"/>
        <v>0.66666666666666663</v>
      </c>
      <c r="C32" s="1">
        <f t="shared" si="1"/>
        <v>4.2426406871192857</v>
      </c>
      <c r="D32" s="1">
        <f t="shared" si="2"/>
        <v>-0.7293294335267746</v>
      </c>
    </row>
    <row r="33" spans="1:4" x14ac:dyDescent="0.2">
      <c r="A33" s="1">
        <v>1.1000000000000001</v>
      </c>
      <c r="B33" s="1">
        <f t="shared" si="0"/>
        <v>0.64619883040935666</v>
      </c>
      <c r="C33" s="1">
        <f t="shared" si="1"/>
        <v>4.4598206241955518</v>
      </c>
      <c r="D33" s="1">
        <f t="shared" si="2"/>
        <v>0.96548938460562972</v>
      </c>
    </row>
    <row r="34" spans="1:4" x14ac:dyDescent="0.2">
      <c r="A34" s="1">
        <v>1.2000000000000002</v>
      </c>
      <c r="B34" s="1">
        <f t="shared" si="0"/>
        <v>0.62886597938144329</v>
      </c>
      <c r="C34" s="1">
        <f t="shared" si="1"/>
        <v>4.6861498055439927</v>
      </c>
      <c r="D34" s="1">
        <f t="shared" si="2"/>
        <v>0.92831776672255573</v>
      </c>
    </row>
    <row r="35" spans="1:4" x14ac:dyDescent="0.2">
      <c r="A35" s="1">
        <v>1.3000000000000003</v>
      </c>
      <c r="B35" s="1">
        <f t="shared" si="0"/>
        <v>0.61415525114155245</v>
      </c>
      <c r="C35" s="1">
        <f t="shared" si="1"/>
        <v>4.920365840057018</v>
      </c>
      <c r="D35" s="1">
        <f t="shared" si="2"/>
        <v>0.88790400174260065</v>
      </c>
    </row>
    <row r="36" spans="1:4" x14ac:dyDescent="0.2">
      <c r="A36" s="1">
        <v>1.4000000000000004</v>
      </c>
      <c r="B36" s="1">
        <f t="shared" si="0"/>
        <v>0.60162601626016254</v>
      </c>
      <c r="C36" s="1">
        <f t="shared" si="1"/>
        <v>5.1613951602255765</v>
      </c>
      <c r="D36" s="1">
        <f t="shared" si="2"/>
        <v>0.8434326653017491</v>
      </c>
    </row>
    <row r="37" spans="1:4" x14ac:dyDescent="0.2">
      <c r="A37" s="1">
        <v>1.5</v>
      </c>
      <c r="B37" s="1">
        <f t="shared" si="0"/>
        <v>0.59090909090909094</v>
      </c>
      <c r="C37" s="1">
        <f t="shared" si="1"/>
        <v>5.4083269131959835</v>
      </c>
      <c r="D37" s="1">
        <f t="shared" si="2"/>
        <v>0.79370052598409979</v>
      </c>
    </row>
    <row r="38" spans="1:4" x14ac:dyDescent="0.2">
      <c r="A38" s="1">
        <v>1.6</v>
      </c>
      <c r="B38" s="1">
        <f t="shared" si="0"/>
        <v>0.58169934640522869</v>
      </c>
      <c r="C38" s="1">
        <f t="shared" si="1"/>
        <v>5.6603886792339626</v>
      </c>
      <c r="D38" s="1">
        <f t="shared" si="2"/>
        <v>0.73680629972807732</v>
      </c>
    </row>
    <row r="39" spans="1:4" x14ac:dyDescent="0.2">
      <c r="A39" s="1">
        <v>1.7000000000000002</v>
      </c>
      <c r="B39" s="1">
        <f t="shared" si="0"/>
        <v>0.57374631268436582</v>
      </c>
      <c r="C39" s="1">
        <f t="shared" si="1"/>
        <v>5.9169248769948064</v>
      </c>
      <c r="D39" s="1">
        <f t="shared" si="2"/>
        <v>0.66943295008216941</v>
      </c>
    </row>
    <row r="40" spans="1:4" x14ac:dyDescent="0.2">
      <c r="A40" s="1">
        <v>1.8000000000000003</v>
      </c>
      <c r="B40" s="1">
        <f t="shared" si="0"/>
        <v>0.56684491978609619</v>
      </c>
      <c r="C40" s="1">
        <f t="shared" si="1"/>
        <v>6.1773780845922008</v>
      </c>
      <c r="D40" s="1">
        <f t="shared" si="2"/>
        <v>0.58480354764257303</v>
      </c>
    </row>
    <row r="41" spans="1:4" x14ac:dyDescent="0.2">
      <c r="A41" s="1">
        <v>1.9000000000000004</v>
      </c>
      <c r="B41" s="1">
        <f t="shared" si="0"/>
        <v>0.56082725060827254</v>
      </c>
      <c r="C41" s="1">
        <f t="shared" si="1"/>
        <v>6.4412731660751668</v>
      </c>
      <c r="D41" s="1">
        <f t="shared" si="2"/>
        <v>0.46415888336127736</v>
      </c>
    </row>
    <row r="42" spans="1:4" x14ac:dyDescent="0.2">
      <c r="A42" s="1">
        <v>2</v>
      </c>
      <c r="B42" s="1">
        <f t="shared" si="0"/>
        <v>0.55555555555555558</v>
      </c>
      <c r="C42" s="1">
        <f t="shared" si="1"/>
        <v>6.7082039324993694</v>
      </c>
      <c r="D42" s="1">
        <f t="shared" si="2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74AD-58F9-2540-8DBC-40C0FE501235}">
  <dimension ref="A1:E3"/>
  <sheetViews>
    <sheetView zoomScale="200" workbookViewId="0">
      <selection activeCell="E3" sqref="E3"/>
    </sheetView>
  </sheetViews>
  <sheetFormatPr baseColWidth="10" defaultRowHeight="16" x14ac:dyDescent="0.2"/>
  <cols>
    <col min="4" max="4" width="19.83203125" customWidth="1"/>
    <col min="5" max="5" width="11.33203125" customWidth="1"/>
  </cols>
  <sheetData>
    <row r="1" spans="1:5" x14ac:dyDescent="0.2">
      <c r="A1" s="4" t="s">
        <v>7</v>
      </c>
      <c r="B1" s="4"/>
      <c r="C1" s="4"/>
      <c r="D1" s="5" t="s">
        <v>8</v>
      </c>
      <c r="E1" s="5" t="s">
        <v>9</v>
      </c>
    </row>
    <row r="2" spans="1:5" x14ac:dyDescent="0.2">
      <c r="A2" s="2" t="s">
        <v>0</v>
      </c>
      <c r="B2" s="2" t="s">
        <v>1</v>
      </c>
      <c r="C2" s="2" t="s">
        <v>5</v>
      </c>
      <c r="D2" s="5"/>
      <c r="E2" s="5"/>
    </row>
    <row r="3" spans="1:5" x14ac:dyDescent="0.2">
      <c r="A3" s="2">
        <v>0.78245401767977008</v>
      </c>
      <c r="B3" s="2">
        <v>1.02</v>
      </c>
      <c r="C3" s="2">
        <v>0.03</v>
      </c>
      <c r="D3" s="2" t="s">
        <v>10</v>
      </c>
      <c r="E3" s="3">
        <f>(TAN(B3)+ACOS(C3))/A3</f>
        <v>4.0499788685101956</v>
      </c>
    </row>
  </sheetData>
  <mergeCells count="3">
    <mergeCell ref="A1:C1"/>
    <mergeCell ref="D1:D2"/>
    <mergeCell ref="E1:E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0A10-C647-B94A-AE4B-5628C810FDD7}">
  <dimension ref="A1:B52"/>
  <sheetViews>
    <sheetView zoomScale="81" workbookViewId="0">
      <selection activeCell="J6" sqref="J6"/>
    </sheetView>
  </sheetViews>
  <sheetFormatPr baseColWidth="10" defaultRowHeight="16" x14ac:dyDescent="0.2"/>
  <cols>
    <col min="2" max="2" width="13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>
        <v>-5</v>
      </c>
      <c r="B2" s="1">
        <f>((A2-4)^2*(A2+2))^(1/3)</f>
        <v>-6.2402514691557114</v>
      </c>
    </row>
    <row r="3" spans="1:2" x14ac:dyDescent="0.2">
      <c r="A3" s="1">
        <v>-4.8</v>
      </c>
      <c r="B3" s="1">
        <f t="shared" ref="B3:B52" si="0">((A3-4)^2*(A3+2))^(1/3)</f>
        <v>-6.0076938336406789</v>
      </c>
    </row>
    <row r="4" spans="1:2" x14ac:dyDescent="0.2">
      <c r="A4" s="1">
        <v>-4.5999999999999996</v>
      </c>
      <c r="B4" s="1">
        <f t="shared" si="0"/>
        <v>-5.7719613831624814</v>
      </c>
    </row>
    <row r="5" spans="1:2" x14ac:dyDescent="0.2">
      <c r="A5" s="1">
        <v>-4.4000000000000004</v>
      </c>
      <c r="B5" s="1">
        <f t="shared" si="0"/>
        <v>-5.5325235504701364</v>
      </c>
    </row>
    <row r="6" spans="1:2" x14ac:dyDescent="0.2">
      <c r="A6" s="1">
        <v>-4.2</v>
      </c>
      <c r="B6" s="1">
        <f t="shared" si="0"/>
        <v>-5.2887145650499203</v>
      </c>
    </row>
    <row r="7" spans="1:2" x14ac:dyDescent="0.2">
      <c r="A7" s="1">
        <v>-4</v>
      </c>
      <c r="B7" s="1">
        <f t="shared" si="0"/>
        <v>-5.0396841995794919</v>
      </c>
    </row>
    <row r="8" spans="1:2" x14ac:dyDescent="0.2">
      <c r="A8" s="1">
        <v>-3.8</v>
      </c>
      <c r="B8" s="1">
        <f t="shared" si="0"/>
        <v>-4.784323859612865</v>
      </c>
    </row>
    <row r="9" spans="1:2" x14ac:dyDescent="0.2">
      <c r="A9" s="1">
        <v>-3.5999999999999996</v>
      </c>
      <c r="B9" s="1">
        <f t="shared" si="0"/>
        <v>-4.5211514543684208</v>
      </c>
    </row>
    <row r="10" spans="1:2" x14ac:dyDescent="0.2">
      <c r="A10" s="1">
        <v>-3.4</v>
      </c>
      <c r="B10" s="1">
        <f t="shared" si="0"/>
        <v>-4.2481237392772835</v>
      </c>
    </row>
    <row r="11" spans="1:2" x14ac:dyDescent="0.2">
      <c r="A11" s="1">
        <v>-3.2</v>
      </c>
      <c r="B11" s="1">
        <f t="shared" si="0"/>
        <v>-3.9623126986735517</v>
      </c>
    </row>
    <row r="12" spans="1:2" x14ac:dyDescent="0.2">
      <c r="A12" s="1">
        <v>-3</v>
      </c>
      <c r="B12" s="1">
        <f t="shared" si="0"/>
        <v>-3.6593057100229709</v>
      </c>
    </row>
    <row r="13" spans="1:2" x14ac:dyDescent="0.2">
      <c r="A13" s="1">
        <v>-2.8</v>
      </c>
      <c r="B13" s="1">
        <f t="shared" si="0"/>
        <v>-3.3319816742015829</v>
      </c>
    </row>
    <row r="14" spans="1:2" x14ac:dyDescent="0.2">
      <c r="A14" s="1">
        <v>-2.5999999999999996</v>
      </c>
      <c r="B14" s="1">
        <f t="shared" si="0"/>
        <v>-2.9676524659492198</v>
      </c>
    </row>
    <row r="15" spans="1:2" x14ac:dyDescent="0.2">
      <c r="A15" s="1">
        <v>-2.4</v>
      </c>
      <c r="B15" s="1">
        <f t="shared" si="0"/>
        <v>-2.5398416831491191</v>
      </c>
    </row>
    <row r="16" spans="1:2" x14ac:dyDescent="0.2">
      <c r="A16" s="1">
        <v>-2.1999999999999997</v>
      </c>
      <c r="B16" s="1">
        <f t="shared" si="0"/>
        <v>-1.9736544806437935</v>
      </c>
    </row>
    <row r="17" spans="1:2" x14ac:dyDescent="0.2">
      <c r="A17" s="1">
        <v>-2</v>
      </c>
      <c r="B17" s="1">
        <f t="shared" si="0"/>
        <v>0</v>
      </c>
    </row>
    <row r="18" spans="1:2" x14ac:dyDescent="0.2">
      <c r="A18" s="1">
        <v>-1.7999999999999998</v>
      </c>
      <c r="B18" s="1">
        <f t="shared" si="0"/>
        <v>1.8878261354784729</v>
      </c>
    </row>
    <row r="19" spans="1:2" x14ac:dyDescent="0.2">
      <c r="A19" s="1">
        <v>-1.5999999999999996</v>
      </c>
      <c r="B19" s="1">
        <f t="shared" si="0"/>
        <v>2.323514293425482</v>
      </c>
    </row>
    <row r="20" spans="1:2" x14ac:dyDescent="0.2">
      <c r="A20" s="1">
        <v>-1.4</v>
      </c>
      <c r="B20" s="1">
        <f t="shared" si="0"/>
        <v>2.5960492265533355</v>
      </c>
    </row>
    <row r="21" spans="1:2" x14ac:dyDescent="0.2">
      <c r="A21" s="1">
        <v>-1.1999999999999997</v>
      </c>
      <c r="B21" s="1">
        <f t="shared" si="0"/>
        <v>2.7863279071530465</v>
      </c>
    </row>
    <row r="22" spans="1:2" x14ac:dyDescent="0.2">
      <c r="A22" s="1">
        <v>-1</v>
      </c>
      <c r="B22" s="1">
        <f t="shared" si="0"/>
        <v>2.9240177382128656</v>
      </c>
    </row>
    <row r="23" spans="1:2" x14ac:dyDescent="0.2">
      <c r="A23" s="1">
        <v>-0.79999999999999982</v>
      </c>
      <c r="B23" s="1">
        <f t="shared" si="0"/>
        <v>3.0238105197476957</v>
      </c>
    </row>
    <row r="24" spans="1:2" x14ac:dyDescent="0.2">
      <c r="A24" s="1">
        <v>-0.59999999999999964</v>
      </c>
      <c r="B24" s="1">
        <f t="shared" si="0"/>
        <v>3.0941965651333931</v>
      </c>
    </row>
    <row r="25" spans="1:2" x14ac:dyDescent="0.2">
      <c r="A25" s="1">
        <v>-0.39999999999999947</v>
      </c>
      <c r="B25" s="1">
        <f t="shared" si="0"/>
        <v>3.1405697642158761</v>
      </c>
    </row>
    <row r="26" spans="1:2" x14ac:dyDescent="0.2">
      <c r="A26" s="1">
        <v>-0.19999999999999929</v>
      </c>
      <c r="B26" s="1">
        <f t="shared" si="0"/>
        <v>3.1665792527424461</v>
      </c>
    </row>
    <row r="27" spans="1:2" x14ac:dyDescent="0.2">
      <c r="A27" s="1">
        <v>0</v>
      </c>
      <c r="B27" s="1">
        <f t="shared" si="0"/>
        <v>3.1748021039363987</v>
      </c>
    </row>
    <row r="28" spans="1:2" x14ac:dyDescent="0.2">
      <c r="A28" s="1">
        <v>0.20000000000000018</v>
      </c>
      <c r="B28" s="1">
        <f t="shared" si="0"/>
        <v>3.1671110487475307</v>
      </c>
    </row>
    <row r="29" spans="1:2" x14ac:dyDescent="0.2">
      <c r="A29" s="1">
        <v>0.40000000000000036</v>
      </c>
      <c r="B29" s="1">
        <f t="shared" si="0"/>
        <v>3.1448896730506757</v>
      </c>
    </row>
    <row r="30" spans="1:2" x14ac:dyDescent="0.2">
      <c r="A30" s="1">
        <v>0.60000000000000053</v>
      </c>
      <c r="B30" s="1">
        <f t="shared" si="0"/>
        <v>3.1091646933170054</v>
      </c>
    </row>
    <row r="31" spans="1:2" x14ac:dyDescent="0.2">
      <c r="A31" s="1">
        <v>0.80000000000000071</v>
      </c>
      <c r="B31" s="1">
        <f t="shared" si="0"/>
        <v>3.0606898924358221</v>
      </c>
    </row>
    <row r="32" spans="1:2" x14ac:dyDescent="0.2">
      <c r="A32" s="1">
        <v>1</v>
      </c>
      <c r="B32" s="1">
        <f t="shared" si="0"/>
        <v>2.9999999999999996</v>
      </c>
    </row>
    <row r="33" spans="1:2" x14ac:dyDescent="0.2">
      <c r="A33" s="1">
        <v>1.2000000000000002</v>
      </c>
      <c r="B33" s="1">
        <f t="shared" si="0"/>
        <v>2.9274445680183767</v>
      </c>
    </row>
    <row r="34" spans="1:2" x14ac:dyDescent="0.2">
      <c r="A34" s="1">
        <v>1.4000000000000004</v>
      </c>
      <c r="B34" s="1">
        <f t="shared" si="0"/>
        <v>2.8432073794614792</v>
      </c>
    </row>
    <row r="35" spans="1:2" x14ac:dyDescent="0.2">
      <c r="A35" s="1">
        <v>1.6000000000000005</v>
      </c>
      <c r="B35" s="1">
        <f t="shared" si="0"/>
        <v>2.7473141821279961</v>
      </c>
    </row>
    <row r="36" spans="1:2" x14ac:dyDescent="0.2">
      <c r="A36" s="1">
        <v>1.8000000000000007</v>
      </c>
      <c r="B36" s="1">
        <f t="shared" si="0"/>
        <v>2.6396295776575482</v>
      </c>
    </row>
    <row r="37" spans="1:2" x14ac:dyDescent="0.2">
      <c r="A37" s="1">
        <v>2</v>
      </c>
      <c r="B37" s="1">
        <f t="shared" si="0"/>
        <v>2.5198420997897459</v>
      </c>
    </row>
    <row r="38" spans="1:2" x14ac:dyDescent="0.2">
      <c r="A38" s="1">
        <v>2.2000000000000002</v>
      </c>
      <c r="B38" s="1">
        <f t="shared" si="0"/>
        <v>2.3874343247378351</v>
      </c>
    </row>
    <row r="39" spans="1:2" x14ac:dyDescent="0.2">
      <c r="A39" s="1">
        <v>2.4000000000000004</v>
      </c>
      <c r="B39" s="1">
        <f t="shared" si="0"/>
        <v>2.2416314645243092</v>
      </c>
    </row>
    <row r="40" spans="1:2" x14ac:dyDescent="0.2">
      <c r="A40" s="1">
        <v>2.6000000000000005</v>
      </c>
      <c r="B40" s="1">
        <f t="shared" si="0"/>
        <v>2.0813157355833223</v>
      </c>
    </row>
    <row r="41" spans="1:2" x14ac:dyDescent="0.2">
      <c r="A41" s="1">
        <v>2.8000000000000007</v>
      </c>
      <c r="B41" s="1">
        <f t="shared" si="0"/>
        <v>1.9048812623618387</v>
      </c>
    </row>
    <row r="42" spans="1:2" x14ac:dyDescent="0.2">
      <c r="A42" s="1">
        <v>3</v>
      </c>
      <c r="B42" s="1">
        <f t="shared" si="0"/>
        <v>1.7099759466766968</v>
      </c>
    </row>
    <row r="43" spans="1:2" x14ac:dyDescent="0.2">
      <c r="A43" s="1">
        <v>3.2000000000000011</v>
      </c>
      <c r="B43" s="1">
        <f t="shared" si="0"/>
        <v>1.4930044627268981</v>
      </c>
    </row>
    <row r="44" spans="1:2" x14ac:dyDescent="0.2">
      <c r="A44" s="1">
        <v>3.4000000000000004</v>
      </c>
      <c r="B44" s="1">
        <f t="shared" si="0"/>
        <v>1.248050293831142</v>
      </c>
    </row>
    <row r="45" spans="1:2" x14ac:dyDescent="0.2">
      <c r="A45" s="1">
        <v>3.5999999999999996</v>
      </c>
      <c r="B45" s="1">
        <f t="shared" si="0"/>
        <v>0.9640569056700925</v>
      </c>
    </row>
    <row r="46" spans="1:2" x14ac:dyDescent="0.2">
      <c r="A46" s="1">
        <v>3.8000000000000007</v>
      </c>
      <c r="B46" s="1">
        <f t="shared" si="0"/>
        <v>0.61446336513716804</v>
      </c>
    </row>
    <row r="47" spans="1:2" x14ac:dyDescent="0.2">
      <c r="A47" s="1">
        <v>4</v>
      </c>
      <c r="B47" s="1">
        <f t="shared" si="0"/>
        <v>0</v>
      </c>
    </row>
    <row r="48" spans="1:2" x14ac:dyDescent="0.2">
      <c r="A48" s="1">
        <v>4.2000000000000011</v>
      </c>
      <c r="B48" s="1">
        <f t="shared" si="0"/>
        <v>0.6282761304782809</v>
      </c>
    </row>
    <row r="49" spans="1:2" x14ac:dyDescent="0.2">
      <c r="A49" s="1">
        <v>4.4000000000000004</v>
      </c>
      <c r="B49" s="1">
        <f t="shared" si="0"/>
        <v>1.0079368399158992</v>
      </c>
    </row>
    <row r="50" spans="1:2" x14ac:dyDescent="0.2">
      <c r="A50" s="1">
        <v>4.6000000000000014</v>
      </c>
      <c r="B50" s="1">
        <f t="shared" si="0"/>
        <v>1.3343880543415916</v>
      </c>
    </row>
    <row r="51" spans="1:2" x14ac:dyDescent="0.2">
      <c r="A51" s="1">
        <v>4.8000000000000007</v>
      </c>
      <c r="B51" s="1">
        <f t="shared" si="0"/>
        <v>1.6326620407669403</v>
      </c>
    </row>
    <row r="52" spans="1:2" x14ac:dyDescent="0.2">
      <c r="A52" s="1">
        <v>5</v>
      </c>
      <c r="B52" s="1">
        <f t="shared" si="0"/>
        <v>1.9129311827723889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E9D8-5242-D245-9546-CC4D3D4E6BB4}">
  <dimension ref="A1:B52"/>
  <sheetViews>
    <sheetView zoomScale="81" workbookViewId="0">
      <selection activeCell="B3" sqref="B3"/>
    </sheetView>
  </sheetViews>
  <sheetFormatPr baseColWidth="10" defaultRowHeight="16" x14ac:dyDescent="0.2"/>
  <cols>
    <col min="2" max="2" width="19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>
        <v>-5</v>
      </c>
      <c r="B2" s="1">
        <f>(A2^3+3*A2^2-2*A2-2)/(2-3*A2^2)</f>
        <v>0.57534246575342463</v>
      </c>
    </row>
    <row r="3" spans="1:2" x14ac:dyDescent="0.2">
      <c r="A3" s="1">
        <v>-4.8</v>
      </c>
      <c r="B3" s="1">
        <f t="shared" ref="B3:B52" si="0">(A3^3+3*A3^2-2*A3-2)/(2-3*A3^2)</f>
        <v>0.50464839094159697</v>
      </c>
    </row>
    <row r="4" spans="1:2" x14ac:dyDescent="0.2">
      <c r="A4" s="1">
        <v>-4.5999999999999996</v>
      </c>
      <c r="B4" s="1">
        <f t="shared" si="0"/>
        <v>0.43357189329863349</v>
      </c>
    </row>
    <row r="5" spans="1:2" x14ac:dyDescent="0.2">
      <c r="A5" s="1">
        <v>-4.4000000000000004</v>
      </c>
      <c r="B5" s="1">
        <f t="shared" si="0"/>
        <v>0.36205420827389456</v>
      </c>
    </row>
    <row r="6" spans="1:2" x14ac:dyDescent="0.2">
      <c r="A6" s="1">
        <v>-4.2</v>
      </c>
      <c r="B6" s="1">
        <f t="shared" si="0"/>
        <v>0.29002356637863325</v>
      </c>
    </row>
    <row r="7" spans="1:2" x14ac:dyDescent="0.2">
      <c r="A7" s="1">
        <v>-4</v>
      </c>
      <c r="B7" s="1">
        <f t="shared" si="0"/>
        <v>0.21739130434782608</v>
      </c>
    </row>
    <row r="8" spans="1:2" x14ac:dyDescent="0.2">
      <c r="A8" s="1">
        <v>-3.8</v>
      </c>
      <c r="B8" s="1">
        <f t="shared" si="0"/>
        <v>0.14404646660212955</v>
      </c>
    </row>
    <row r="9" spans="1:2" x14ac:dyDescent="0.2">
      <c r="A9" s="1">
        <v>-3.5999999999999996</v>
      </c>
      <c r="B9" s="1">
        <f t="shared" si="0"/>
        <v>6.9848156182212309E-2</v>
      </c>
    </row>
    <row r="10" spans="1:2" x14ac:dyDescent="0.2">
      <c r="A10" s="1">
        <v>-3.4</v>
      </c>
      <c r="B10" s="1">
        <f t="shared" si="0"/>
        <v>-5.3855569155445999E-3</v>
      </c>
    </row>
    <row r="11" spans="1:2" x14ac:dyDescent="0.2">
      <c r="A11" s="1">
        <v>-3.2</v>
      </c>
      <c r="B11" s="1">
        <f t="shared" si="0"/>
        <v>-8.189415041782723E-2</v>
      </c>
    </row>
    <row r="12" spans="1:2" x14ac:dyDescent="0.2">
      <c r="A12" s="1">
        <v>-3</v>
      </c>
      <c r="B12" s="1">
        <f t="shared" si="0"/>
        <v>-0.16</v>
      </c>
    </row>
    <row r="13" spans="1:2" x14ac:dyDescent="0.2">
      <c r="A13" s="1">
        <v>-2.8</v>
      </c>
      <c r="B13" s="1">
        <f t="shared" si="0"/>
        <v>-0.24014869888475845</v>
      </c>
    </row>
    <row r="14" spans="1:2" x14ac:dyDescent="0.2">
      <c r="A14" s="1">
        <v>-2.5999999999999996</v>
      </c>
      <c r="B14" s="1">
        <f t="shared" si="0"/>
        <v>-0.32297592997811825</v>
      </c>
    </row>
    <row r="15" spans="1:2" x14ac:dyDescent="0.2">
      <c r="A15" s="1">
        <v>-2.4</v>
      </c>
      <c r="B15" s="1">
        <f t="shared" si="0"/>
        <v>-0.40942408376963352</v>
      </c>
    </row>
    <row r="16" spans="1:2" x14ac:dyDescent="0.2">
      <c r="A16" s="1">
        <v>-2.1999999999999997</v>
      </c>
      <c r="B16" s="1">
        <f t="shared" si="0"/>
        <v>-0.50095846645367414</v>
      </c>
    </row>
    <row r="17" spans="1:2" x14ac:dyDescent="0.2">
      <c r="A17" s="1">
        <v>-2</v>
      </c>
      <c r="B17" s="1">
        <f t="shared" si="0"/>
        <v>-0.6</v>
      </c>
    </row>
    <row r="18" spans="1:2" x14ac:dyDescent="0.2">
      <c r="A18" s="1">
        <v>-1.7999999999999998</v>
      </c>
      <c r="B18" s="1">
        <f t="shared" si="0"/>
        <v>-0.71088082901554417</v>
      </c>
    </row>
    <row r="19" spans="1:2" x14ac:dyDescent="0.2">
      <c r="A19" s="1">
        <v>-1.5999999999999996</v>
      </c>
      <c r="B19" s="1">
        <f t="shared" si="0"/>
        <v>-0.84225352112676077</v>
      </c>
    </row>
    <row r="20" spans="1:2" x14ac:dyDescent="0.2">
      <c r="A20" s="1">
        <v>-1.4</v>
      </c>
      <c r="B20" s="1">
        <f t="shared" si="0"/>
        <v>-1.0144329896907218</v>
      </c>
    </row>
    <row r="21" spans="1:2" x14ac:dyDescent="0.2">
      <c r="A21" s="1">
        <v>-1.1999999999999997</v>
      </c>
      <c r="B21" s="1">
        <f t="shared" si="0"/>
        <v>-1.2896551724137937</v>
      </c>
    </row>
    <row r="22" spans="1:2" x14ac:dyDescent="0.2">
      <c r="A22" s="1">
        <v>-1</v>
      </c>
      <c r="B22" s="1">
        <f t="shared" si="0"/>
        <v>-2</v>
      </c>
    </row>
    <row r="23" spans="1:2" x14ac:dyDescent="0.2">
      <c r="A23" s="1">
        <v>-0.79999999999999982</v>
      </c>
      <c r="B23" s="1">
        <f t="shared" si="0"/>
        <v>12.599999999999838</v>
      </c>
    </row>
    <row r="24" spans="1:2" x14ac:dyDescent="0.2">
      <c r="A24" s="1">
        <v>-0.59999999999999964</v>
      </c>
      <c r="B24" s="1">
        <f t="shared" si="0"/>
        <v>6.9565217391302378E-2</v>
      </c>
    </row>
    <row r="25" spans="1:2" x14ac:dyDescent="0.2">
      <c r="A25" s="1">
        <v>-0.39999999999999947</v>
      </c>
      <c r="B25" s="1">
        <f t="shared" si="0"/>
        <v>-0.51578947368421135</v>
      </c>
    </row>
    <row r="26" spans="1:2" x14ac:dyDescent="0.2">
      <c r="A26" s="1">
        <v>-0.19999999999999929</v>
      </c>
      <c r="B26" s="1">
        <f t="shared" si="0"/>
        <v>-0.79148936170212847</v>
      </c>
    </row>
    <row r="27" spans="1:2" x14ac:dyDescent="0.2">
      <c r="A27" s="1">
        <v>0</v>
      </c>
      <c r="B27" s="1">
        <f t="shared" si="0"/>
        <v>-1</v>
      </c>
    </row>
    <row r="28" spans="1:2" x14ac:dyDescent="0.2">
      <c r="A28" s="1">
        <v>0.20000000000000018</v>
      </c>
      <c r="B28" s="1">
        <f t="shared" si="0"/>
        <v>-1.2085106382978725</v>
      </c>
    </row>
    <row r="29" spans="1:2" x14ac:dyDescent="0.2">
      <c r="A29" s="1">
        <v>0.40000000000000036</v>
      </c>
      <c r="B29" s="1">
        <f t="shared" si="0"/>
        <v>-1.4842105263157901</v>
      </c>
    </row>
    <row r="30" spans="1:2" x14ac:dyDescent="0.2">
      <c r="A30" s="1">
        <v>0.60000000000000053</v>
      </c>
      <c r="B30" s="1">
        <f t="shared" si="0"/>
        <v>-2.0695652173913071</v>
      </c>
    </row>
    <row r="31" spans="1:2" x14ac:dyDescent="0.2">
      <c r="A31" s="1">
        <v>0.80000000000000071</v>
      </c>
      <c r="B31" s="1">
        <f t="shared" si="0"/>
        <v>-14.600000000000593</v>
      </c>
    </row>
    <row r="32" spans="1:2" x14ac:dyDescent="0.2">
      <c r="A32" s="1">
        <v>1</v>
      </c>
      <c r="B32" s="1">
        <f t="shared" si="0"/>
        <v>0</v>
      </c>
    </row>
    <row r="33" spans="1:2" x14ac:dyDescent="0.2">
      <c r="A33" s="1">
        <v>1.2000000000000002</v>
      </c>
      <c r="B33" s="1">
        <f t="shared" si="0"/>
        <v>-0.71034482758620721</v>
      </c>
    </row>
    <row r="34" spans="1:2" x14ac:dyDescent="0.2">
      <c r="A34" s="1">
        <v>1.4000000000000004</v>
      </c>
      <c r="B34" s="1">
        <f t="shared" si="0"/>
        <v>-0.98556701030927885</v>
      </c>
    </row>
    <row r="35" spans="1:2" x14ac:dyDescent="0.2">
      <c r="A35" s="1">
        <v>1.6000000000000005</v>
      </c>
      <c r="B35" s="1">
        <f t="shared" si="0"/>
        <v>-1.1577464788732401</v>
      </c>
    </row>
    <row r="36" spans="1:2" x14ac:dyDescent="0.2">
      <c r="A36" s="1">
        <v>1.8000000000000007</v>
      </c>
      <c r="B36" s="1">
        <f t="shared" si="0"/>
        <v>-1.2891191709844563</v>
      </c>
    </row>
    <row r="37" spans="1:2" x14ac:dyDescent="0.2">
      <c r="A37" s="1">
        <v>2</v>
      </c>
      <c r="B37" s="1">
        <f t="shared" si="0"/>
        <v>-1.4</v>
      </c>
    </row>
    <row r="38" spans="1:2" x14ac:dyDescent="0.2">
      <c r="A38" s="1">
        <v>2.2000000000000002</v>
      </c>
      <c r="B38" s="1">
        <f t="shared" si="0"/>
        <v>-1.4990415335463261</v>
      </c>
    </row>
    <row r="39" spans="1:2" x14ac:dyDescent="0.2">
      <c r="A39" s="1">
        <v>2.4000000000000004</v>
      </c>
      <c r="B39" s="1">
        <f t="shared" si="0"/>
        <v>-1.5905759162303665</v>
      </c>
    </row>
    <row r="40" spans="1:2" x14ac:dyDescent="0.2">
      <c r="A40" s="1">
        <v>2.6000000000000005</v>
      </c>
      <c r="B40" s="1">
        <f t="shared" si="0"/>
        <v>-1.6770240700218821</v>
      </c>
    </row>
    <row r="41" spans="1:2" x14ac:dyDescent="0.2">
      <c r="A41" s="1">
        <v>2.8000000000000007</v>
      </c>
      <c r="B41" s="1">
        <f t="shared" si="0"/>
        <v>-1.7598513011152419</v>
      </c>
    </row>
    <row r="42" spans="1:2" x14ac:dyDescent="0.2">
      <c r="A42" s="1">
        <v>3</v>
      </c>
      <c r="B42" s="1">
        <f t="shared" si="0"/>
        <v>-1.84</v>
      </c>
    </row>
    <row r="43" spans="1:2" x14ac:dyDescent="0.2">
      <c r="A43" s="1">
        <v>3.2000000000000011</v>
      </c>
      <c r="B43" s="1">
        <f t="shared" si="0"/>
        <v>-1.9181058495821732</v>
      </c>
    </row>
    <row r="44" spans="1:2" x14ac:dyDescent="0.2">
      <c r="A44" s="1">
        <v>3.4000000000000004</v>
      </c>
      <c r="B44" s="1">
        <f t="shared" si="0"/>
        <v>-1.9946144430844552</v>
      </c>
    </row>
    <row r="45" spans="1:2" x14ac:dyDescent="0.2">
      <c r="A45" s="1">
        <v>3.5999999999999996</v>
      </c>
      <c r="B45" s="1">
        <f t="shared" si="0"/>
        <v>-2.069848156182212</v>
      </c>
    </row>
    <row r="46" spans="1:2" x14ac:dyDescent="0.2">
      <c r="A46" s="1">
        <v>3.8000000000000007</v>
      </c>
      <c r="B46" s="1">
        <f t="shared" si="0"/>
        <v>-2.1440464666021302</v>
      </c>
    </row>
    <row r="47" spans="1:2" x14ac:dyDescent="0.2">
      <c r="A47" s="1">
        <v>4</v>
      </c>
      <c r="B47" s="1">
        <f t="shared" si="0"/>
        <v>-2.2173913043478262</v>
      </c>
    </row>
    <row r="48" spans="1:2" x14ac:dyDescent="0.2">
      <c r="A48" s="1">
        <v>4.2000000000000011</v>
      </c>
      <c r="B48" s="1">
        <f t="shared" si="0"/>
        <v>-2.2900235663786335</v>
      </c>
    </row>
    <row r="49" spans="1:2" x14ac:dyDescent="0.2">
      <c r="A49" s="1">
        <v>4.4000000000000004</v>
      </c>
      <c r="B49" s="1">
        <f t="shared" si="0"/>
        <v>-2.3620542082738942</v>
      </c>
    </row>
    <row r="50" spans="1:2" x14ac:dyDescent="0.2">
      <c r="A50" s="1">
        <v>4.6000000000000014</v>
      </c>
      <c r="B50" s="1">
        <f t="shared" si="0"/>
        <v>-2.4335718932986343</v>
      </c>
    </row>
    <row r="51" spans="1:2" x14ac:dyDescent="0.2">
      <c r="A51" s="1">
        <v>4.8000000000000007</v>
      </c>
      <c r="B51" s="1">
        <f t="shared" si="0"/>
        <v>-2.5046483909415973</v>
      </c>
    </row>
    <row r="52" spans="1:2" x14ac:dyDescent="0.2">
      <c r="A52" s="1">
        <v>5</v>
      </c>
      <c r="B52" s="1">
        <f t="shared" si="0"/>
        <v>-2.5753424657534247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24CC-7B68-DF4C-BA82-0165B0C13FB8}">
  <dimension ref="A1:B53"/>
  <sheetViews>
    <sheetView zoomScale="82" workbookViewId="0">
      <selection activeCell="L17" sqref="L17"/>
    </sheetView>
  </sheetViews>
  <sheetFormatPr baseColWidth="10" defaultRowHeight="16" x14ac:dyDescent="0.2"/>
  <cols>
    <col min="2" max="2" width="23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>
        <v>-5</v>
      </c>
      <c r="B2" s="1">
        <f>IF(A2&lt;=0, SQRT(1+2*A2^2),IF(A2&gt;0,(1+A2)/(1+(1+EXP(A2))^(1/3))))</f>
        <v>7.1414284285428504</v>
      </c>
    </row>
    <row r="3" spans="1:2" x14ac:dyDescent="0.2">
      <c r="A3" s="1">
        <v>-4.8</v>
      </c>
      <c r="B3" s="1">
        <f t="shared" ref="B3:B52" si="0">IF(A3&lt;=0, SQRT(1+2*A3^2),IF(A3&gt;0,(1+A3)/(1+(1+EXP(A3))^(1/3))))</f>
        <v>6.8614867193633771</v>
      </c>
    </row>
    <row r="4" spans="1:2" x14ac:dyDescent="0.2">
      <c r="A4" s="1">
        <v>-4.5999999999999996</v>
      </c>
      <c r="B4" s="1">
        <f t="shared" si="0"/>
        <v>6.5817930687617334</v>
      </c>
    </row>
    <row r="5" spans="1:2" x14ac:dyDescent="0.2">
      <c r="A5" s="1">
        <v>-4.4000000000000004</v>
      </c>
      <c r="B5" s="1">
        <f t="shared" si="0"/>
        <v>6.3023805026354927</v>
      </c>
    </row>
    <row r="6" spans="1:2" x14ac:dyDescent="0.2">
      <c r="A6" s="1">
        <v>-4.2</v>
      </c>
      <c r="B6" s="1">
        <f t="shared" si="0"/>
        <v>6.0232881385502388</v>
      </c>
    </row>
    <row r="7" spans="1:2" x14ac:dyDescent="0.2">
      <c r="A7" s="1">
        <v>-4</v>
      </c>
      <c r="B7" s="1">
        <f t="shared" si="0"/>
        <v>5.7445626465380286</v>
      </c>
    </row>
    <row r="8" spans="1:2" x14ac:dyDescent="0.2">
      <c r="A8" s="1">
        <v>-3.8</v>
      </c>
      <c r="B8" s="1">
        <f t="shared" si="0"/>
        <v>5.4662601474865795</v>
      </c>
    </row>
    <row r="9" spans="1:2" x14ac:dyDescent="0.2">
      <c r="A9" s="1">
        <v>-3.5999999999999996</v>
      </c>
      <c r="B9" s="1">
        <f t="shared" si="0"/>
        <v>5.1884487084291386</v>
      </c>
    </row>
    <row r="10" spans="1:2" x14ac:dyDescent="0.2">
      <c r="A10" s="1">
        <v>-3.4</v>
      </c>
      <c r="B10" s="1">
        <f t="shared" si="0"/>
        <v>4.9112116631234697</v>
      </c>
    </row>
    <row r="11" spans="1:2" x14ac:dyDescent="0.2">
      <c r="A11" s="1">
        <v>-3.2</v>
      </c>
      <c r="B11" s="1">
        <f t="shared" si="0"/>
        <v>4.6346520905025876</v>
      </c>
    </row>
    <row r="12" spans="1:2" x14ac:dyDescent="0.2">
      <c r="A12" s="1">
        <v>-3</v>
      </c>
      <c r="B12" s="1">
        <f t="shared" si="0"/>
        <v>4.358898943540674</v>
      </c>
    </row>
    <row r="13" spans="1:2" x14ac:dyDescent="0.2">
      <c r="A13" s="1">
        <v>-2.8</v>
      </c>
      <c r="B13" s="1">
        <f t="shared" si="0"/>
        <v>4.0841155713324273</v>
      </c>
    </row>
    <row r="14" spans="1:2" x14ac:dyDescent="0.2">
      <c r="A14" s="1">
        <v>-2.5999999999999996</v>
      </c>
      <c r="B14" s="1">
        <f t="shared" si="0"/>
        <v>3.8105117766515297</v>
      </c>
    </row>
    <row r="15" spans="1:2" x14ac:dyDescent="0.2">
      <c r="A15" s="1">
        <v>-2.4</v>
      </c>
      <c r="B15" s="1">
        <f t="shared" si="0"/>
        <v>3.5383612025908264</v>
      </c>
    </row>
    <row r="16" spans="1:2" x14ac:dyDescent="0.2">
      <c r="A16" s="1">
        <v>-2.1999999999999997</v>
      </c>
      <c r="B16" s="1">
        <f t="shared" si="0"/>
        <v>3.2680269276736382</v>
      </c>
    </row>
    <row r="17" spans="1:2" x14ac:dyDescent="0.2">
      <c r="A17" s="1">
        <v>-2</v>
      </c>
      <c r="B17" s="1">
        <f t="shared" si="0"/>
        <v>3</v>
      </c>
    </row>
    <row r="18" spans="1:2" x14ac:dyDescent="0.2">
      <c r="A18" s="1">
        <v>-1.7999999999999998</v>
      </c>
      <c r="B18" s="1">
        <f t="shared" si="0"/>
        <v>2.7349588662354685</v>
      </c>
    </row>
    <row r="19" spans="1:2" x14ac:dyDescent="0.2">
      <c r="A19" s="1">
        <v>-1.5999999999999996</v>
      </c>
      <c r="B19" s="1">
        <f t="shared" si="0"/>
        <v>2.4738633753705956</v>
      </c>
    </row>
    <row r="20" spans="1:2" x14ac:dyDescent="0.2">
      <c r="A20" s="1">
        <v>-1.4</v>
      </c>
      <c r="B20" s="1">
        <f t="shared" si="0"/>
        <v>2.2181073012818833</v>
      </c>
    </row>
    <row r="21" spans="1:2" x14ac:dyDescent="0.2">
      <c r="A21" s="1">
        <v>-1.1999999999999997</v>
      </c>
      <c r="B21" s="1">
        <f t="shared" si="0"/>
        <v>1.9697715603592205</v>
      </c>
    </row>
    <row r="22" spans="1:2" x14ac:dyDescent="0.2">
      <c r="A22" s="1">
        <v>-1</v>
      </c>
      <c r="B22" s="1">
        <f t="shared" si="0"/>
        <v>1.7320508075688772</v>
      </c>
    </row>
    <row r="23" spans="1:2" x14ac:dyDescent="0.2">
      <c r="A23" s="1">
        <v>-0.79999999999999982</v>
      </c>
      <c r="B23" s="1">
        <f t="shared" si="0"/>
        <v>1.5099668870541498</v>
      </c>
    </row>
    <row r="24" spans="1:2" x14ac:dyDescent="0.2">
      <c r="A24" s="1">
        <v>-0.59999999999999964</v>
      </c>
      <c r="B24" s="1">
        <f t="shared" si="0"/>
        <v>1.3114877048603999</v>
      </c>
    </row>
    <row r="25" spans="1:2" x14ac:dyDescent="0.2">
      <c r="A25" s="1">
        <v>-0.39999999999999947</v>
      </c>
      <c r="B25" s="1">
        <f t="shared" si="0"/>
        <v>1.1489125293076055</v>
      </c>
    </row>
    <row r="26" spans="1:2" x14ac:dyDescent="0.2">
      <c r="A26" s="1">
        <v>-0.19999999999999929</v>
      </c>
      <c r="B26" s="1">
        <f t="shared" si="0"/>
        <v>1.039230484541326</v>
      </c>
    </row>
    <row r="27" spans="1:2" x14ac:dyDescent="0.2">
      <c r="A27" s="1">
        <v>0</v>
      </c>
      <c r="B27" s="1">
        <f t="shared" si="0"/>
        <v>1</v>
      </c>
    </row>
    <row r="28" spans="1:2" x14ac:dyDescent="0.2">
      <c r="A28" s="1">
        <v>0.20000000000000018</v>
      </c>
      <c r="B28" s="1">
        <f t="shared" si="0"/>
        <v>0.52065357768524878</v>
      </c>
    </row>
    <row r="29" spans="1:2" x14ac:dyDescent="0.2">
      <c r="A29" s="1">
        <v>0.40000000000000036</v>
      </c>
      <c r="B29" s="1">
        <f t="shared" si="0"/>
        <v>0.59429617107406207</v>
      </c>
    </row>
    <row r="30" spans="1:2" x14ac:dyDescent="0.2">
      <c r="A30" s="1">
        <v>0.60000000000000053</v>
      </c>
      <c r="B30" s="1">
        <f t="shared" si="0"/>
        <v>0.66303066386817733</v>
      </c>
    </row>
    <row r="31" spans="1:2" x14ac:dyDescent="0.2">
      <c r="A31" s="1">
        <v>0.80000000000000071</v>
      </c>
      <c r="B31" s="1">
        <f t="shared" si="0"/>
        <v>0.72653216913164009</v>
      </c>
    </row>
    <row r="32" spans="1:2" x14ac:dyDescent="0.2">
      <c r="A32" s="1">
        <v>1</v>
      </c>
      <c r="B32" s="1">
        <f t="shared" si="0"/>
        <v>0.78455260171953733</v>
      </c>
    </row>
    <row r="33" spans="1:2" x14ac:dyDescent="0.2">
      <c r="A33" s="1">
        <v>1.2000000000000002</v>
      </c>
      <c r="B33" s="1">
        <f t="shared" si="0"/>
        <v>0.83692664516485848</v>
      </c>
    </row>
    <row r="34" spans="1:2" x14ac:dyDescent="0.2">
      <c r="A34" s="1">
        <v>1.4000000000000004</v>
      </c>
      <c r="B34" s="1">
        <f t="shared" si="0"/>
        <v>0.88357251870981435</v>
      </c>
    </row>
    <row r="35" spans="1:2" x14ac:dyDescent="0.2">
      <c r="A35" s="1">
        <v>1.6000000000000005</v>
      </c>
      <c r="B35" s="1">
        <f t="shared" si="0"/>
        <v>0.9244882491152776</v>
      </c>
    </row>
    <row r="36" spans="1:2" x14ac:dyDescent="0.2">
      <c r="A36" s="1">
        <v>1.8000000000000007</v>
      </c>
      <c r="B36" s="1">
        <f t="shared" si="0"/>
        <v>0.95974453760137723</v>
      </c>
    </row>
    <row r="37" spans="1:2" x14ac:dyDescent="0.2">
      <c r="A37" s="1">
        <v>2</v>
      </c>
      <c r="B37" s="1">
        <f t="shared" si="0"/>
        <v>0.98947543624030876</v>
      </c>
    </row>
    <row r="38" spans="1:2" x14ac:dyDescent="0.2">
      <c r="A38" s="1">
        <v>2.2000000000000002</v>
      </c>
      <c r="B38" s="1">
        <f t="shared" si="0"/>
        <v>1.0138679628916869</v>
      </c>
    </row>
    <row r="39" spans="1:2" x14ac:dyDescent="0.2">
      <c r="A39" s="1">
        <v>2.4000000000000004</v>
      </c>
      <c r="B39" s="1">
        <f t="shared" si="0"/>
        <v>1.0331515717523154</v>
      </c>
    </row>
    <row r="40" spans="1:2" x14ac:dyDescent="0.2">
      <c r="A40" s="1">
        <v>2.6000000000000005</v>
      </c>
      <c r="B40" s="1">
        <f t="shared" si="0"/>
        <v>1.0475881373856013</v>
      </c>
    </row>
    <row r="41" spans="1:2" x14ac:dyDescent="0.2">
      <c r="A41" s="1">
        <v>2.8000000000000007</v>
      </c>
      <c r="B41" s="1">
        <f t="shared" si="0"/>
        <v>1.0574628619947666</v>
      </c>
    </row>
    <row r="42" spans="1:2" x14ac:dyDescent="0.2">
      <c r="A42" s="1">
        <v>3</v>
      </c>
      <c r="B42" s="1">
        <f t="shared" si="0"/>
        <v>1.0630763112088886</v>
      </c>
    </row>
    <row r="43" spans="1:2" x14ac:dyDescent="0.2">
      <c r="A43" s="1">
        <v>3.2000000000000011</v>
      </c>
      <c r="B43" s="1">
        <f t="shared" si="0"/>
        <v>1.064737633801295</v>
      </c>
    </row>
    <row r="44" spans="1:2" x14ac:dyDescent="0.2">
      <c r="A44" s="1">
        <v>3.4000000000000004</v>
      </c>
      <c r="B44" s="1">
        <f t="shared" si="0"/>
        <v>1.0627589226936216</v>
      </c>
    </row>
    <row r="45" spans="1:2" x14ac:dyDescent="0.2">
      <c r="A45" s="1">
        <v>3.5999999999999996</v>
      </c>
      <c r="B45" s="1">
        <f t="shared" si="0"/>
        <v>1.0574506186253181</v>
      </c>
    </row>
    <row r="46" spans="1:2" x14ac:dyDescent="0.2">
      <c r="A46" s="1">
        <v>3.8000000000000007</v>
      </c>
      <c r="B46" s="1">
        <f t="shared" si="0"/>
        <v>1.0491178324873207</v>
      </c>
    </row>
    <row r="47" spans="1:2" x14ac:dyDescent="0.2">
      <c r="A47" s="1">
        <v>4</v>
      </c>
      <c r="B47" s="1">
        <f t="shared" si="0"/>
        <v>1.0380574570574079</v>
      </c>
    </row>
    <row r="48" spans="1:2" x14ac:dyDescent="0.2">
      <c r="A48" s="1">
        <v>4.2000000000000011</v>
      </c>
      <c r="B48" s="1">
        <f t="shared" si="0"/>
        <v>1.0245559454694944</v>
      </c>
    </row>
    <row r="49" spans="1:2" x14ac:dyDescent="0.2">
      <c r="A49" s="1">
        <v>4.4000000000000004</v>
      </c>
      <c r="B49" s="1">
        <f t="shared" si="0"/>
        <v>1.0088876463140777</v>
      </c>
    </row>
    <row r="50" spans="1:2" x14ac:dyDescent="0.2">
      <c r="A50" s="1">
        <v>4.6000000000000014</v>
      </c>
      <c r="B50" s="1">
        <f t="shared" si="0"/>
        <v>0.99131359996803969</v>
      </c>
    </row>
    <row r="51" spans="1:2" x14ac:dyDescent="0.2">
      <c r="A51" s="1">
        <v>4.8000000000000007</v>
      </c>
      <c r="B51" s="1">
        <f t="shared" si="0"/>
        <v>0.97208071531767137</v>
      </c>
    </row>
    <row r="52" spans="1:2" x14ac:dyDescent="0.2">
      <c r="A52" s="1">
        <v>5</v>
      </c>
      <c r="B52" s="1">
        <f t="shared" si="0"/>
        <v>0.95142125928486032</v>
      </c>
    </row>
    <row r="53" spans="1:2" x14ac:dyDescent="0.2">
      <c r="A53" s="1"/>
      <c r="B53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460C-CB3C-1B4D-9650-670EF993076C}">
  <dimension ref="A1:C22"/>
  <sheetViews>
    <sheetView zoomScale="125" workbookViewId="0">
      <selection activeCell="B2" sqref="B2"/>
    </sheetView>
  </sheetViews>
  <sheetFormatPr baseColWidth="10" defaultRowHeight="16" x14ac:dyDescent="0.2"/>
  <cols>
    <col min="2" max="2" width="27.33203125" customWidth="1"/>
    <col min="3" max="3" width="24.83203125" customWidth="1"/>
  </cols>
  <sheetData>
    <row r="1" spans="1:3" x14ac:dyDescent="0.2">
      <c r="A1" s="1" t="s">
        <v>0</v>
      </c>
      <c r="B1" s="1" t="s">
        <v>11</v>
      </c>
      <c r="C1" s="1" t="s">
        <v>12</v>
      </c>
    </row>
    <row r="2" spans="1:3" x14ac:dyDescent="0.2">
      <c r="A2" s="1">
        <v>-2</v>
      </c>
      <c r="B2" s="1">
        <f>3*SQRT(4-A2^2)</f>
        <v>0</v>
      </c>
      <c r="C2" s="1">
        <f>-3*SQRT(4-A2^2)</f>
        <v>0</v>
      </c>
    </row>
    <row r="3" spans="1:3" x14ac:dyDescent="0.2">
      <c r="A3" s="1">
        <v>-1.8</v>
      </c>
      <c r="B3" s="1">
        <f t="shared" ref="B3:B22" si="0">3*SQRT(4-A3^2)</f>
        <v>2.6153393661244038</v>
      </c>
      <c r="C3" s="1">
        <f t="shared" ref="C3:C22" si="1">-3*SQRT(4-A3^2)</f>
        <v>-2.6153393661244038</v>
      </c>
    </row>
    <row r="4" spans="1:3" x14ac:dyDescent="0.2">
      <c r="A4" s="1">
        <v>-1.6</v>
      </c>
      <c r="B4" s="1">
        <f t="shared" si="0"/>
        <v>3.5999999999999992</v>
      </c>
      <c r="C4" s="1">
        <f t="shared" si="1"/>
        <v>-3.5999999999999992</v>
      </c>
    </row>
    <row r="5" spans="1:3" x14ac:dyDescent="0.2">
      <c r="A5" s="1">
        <v>-1.4</v>
      </c>
      <c r="B5" s="1">
        <f t="shared" si="0"/>
        <v>4.2848570571257101</v>
      </c>
      <c r="C5" s="1">
        <f t="shared" si="1"/>
        <v>-4.2848570571257101</v>
      </c>
    </row>
    <row r="6" spans="1:3" x14ac:dyDescent="0.2">
      <c r="A6" s="1">
        <v>-1.2</v>
      </c>
      <c r="B6" s="1">
        <f t="shared" si="0"/>
        <v>4.8000000000000007</v>
      </c>
      <c r="C6" s="1">
        <f t="shared" si="1"/>
        <v>-4.8000000000000007</v>
      </c>
    </row>
    <row r="7" spans="1:3" x14ac:dyDescent="0.2">
      <c r="A7" s="1">
        <v>-1</v>
      </c>
      <c r="B7" s="1">
        <f t="shared" si="0"/>
        <v>5.196152422706632</v>
      </c>
      <c r="C7" s="1">
        <f t="shared" si="1"/>
        <v>-5.196152422706632</v>
      </c>
    </row>
    <row r="8" spans="1:3" x14ac:dyDescent="0.2">
      <c r="A8" s="1">
        <v>-0.79999999999999982</v>
      </c>
      <c r="B8" s="1">
        <f t="shared" si="0"/>
        <v>5.4990908339470082</v>
      </c>
      <c r="C8" s="1">
        <f t="shared" si="1"/>
        <v>-5.4990908339470082</v>
      </c>
    </row>
    <row r="9" spans="1:3" x14ac:dyDescent="0.2">
      <c r="A9" s="1">
        <v>-0.59999999999999987</v>
      </c>
      <c r="B9" s="1">
        <f t="shared" si="0"/>
        <v>5.7236352085016744</v>
      </c>
      <c r="C9" s="1">
        <f t="shared" si="1"/>
        <v>-5.7236352085016744</v>
      </c>
    </row>
    <row r="10" spans="1:3" x14ac:dyDescent="0.2">
      <c r="A10" s="1">
        <v>-0.39999999999999991</v>
      </c>
      <c r="B10" s="1">
        <f t="shared" si="0"/>
        <v>5.8787753826796276</v>
      </c>
      <c r="C10" s="1">
        <f t="shared" si="1"/>
        <v>-5.8787753826796276</v>
      </c>
    </row>
    <row r="11" spans="1:3" x14ac:dyDescent="0.2">
      <c r="A11" s="1">
        <v>-0.19999999999999996</v>
      </c>
      <c r="B11" s="1">
        <f t="shared" si="0"/>
        <v>5.96992462263972</v>
      </c>
      <c r="C11" s="1">
        <f t="shared" si="1"/>
        <v>-5.96992462263972</v>
      </c>
    </row>
    <row r="12" spans="1:3" x14ac:dyDescent="0.2">
      <c r="A12" s="1">
        <v>0</v>
      </c>
      <c r="B12" s="1">
        <f t="shared" si="0"/>
        <v>6</v>
      </c>
      <c r="C12" s="1">
        <f t="shared" si="1"/>
        <v>-6</v>
      </c>
    </row>
    <row r="13" spans="1:3" x14ac:dyDescent="0.2">
      <c r="A13" s="1">
        <v>0.20000000000000018</v>
      </c>
      <c r="B13" s="1">
        <f t="shared" si="0"/>
        <v>5.96992462263972</v>
      </c>
      <c r="C13" s="1">
        <f t="shared" si="1"/>
        <v>-5.96992462263972</v>
      </c>
    </row>
    <row r="14" spans="1:3" x14ac:dyDescent="0.2">
      <c r="A14" s="1">
        <v>0.40000000000000036</v>
      </c>
      <c r="B14" s="1">
        <f t="shared" si="0"/>
        <v>5.8787753826796276</v>
      </c>
      <c r="C14" s="1">
        <f t="shared" si="1"/>
        <v>-5.8787753826796276</v>
      </c>
    </row>
    <row r="15" spans="1:3" x14ac:dyDescent="0.2">
      <c r="A15" s="1">
        <v>0.60000000000000009</v>
      </c>
      <c r="B15" s="1">
        <f t="shared" si="0"/>
        <v>5.7236352085016744</v>
      </c>
      <c r="C15" s="1">
        <f t="shared" si="1"/>
        <v>-5.7236352085016744</v>
      </c>
    </row>
    <row r="16" spans="1:3" x14ac:dyDescent="0.2">
      <c r="A16" s="1">
        <v>0.80000000000000027</v>
      </c>
      <c r="B16" s="1">
        <f t="shared" si="0"/>
        <v>5.4990908339470073</v>
      </c>
      <c r="C16" s="1">
        <f t="shared" si="1"/>
        <v>-5.4990908339470073</v>
      </c>
    </row>
    <row r="17" spans="1:3" x14ac:dyDescent="0.2">
      <c r="A17" s="1">
        <v>1</v>
      </c>
      <c r="B17" s="1">
        <f t="shared" si="0"/>
        <v>5.196152422706632</v>
      </c>
      <c r="C17" s="1">
        <f t="shared" si="1"/>
        <v>-5.196152422706632</v>
      </c>
    </row>
    <row r="18" spans="1:3" x14ac:dyDescent="0.2">
      <c r="A18" s="1">
        <v>1.2000000000000002</v>
      </c>
      <c r="B18" s="1">
        <f t="shared" si="0"/>
        <v>4.8</v>
      </c>
      <c r="C18" s="1">
        <f t="shared" si="1"/>
        <v>-4.8</v>
      </c>
    </row>
    <row r="19" spans="1:3" x14ac:dyDescent="0.2">
      <c r="A19" s="1">
        <v>1.4000000000000004</v>
      </c>
      <c r="B19" s="1">
        <f t="shared" si="0"/>
        <v>4.2848570571257092</v>
      </c>
      <c r="C19" s="1">
        <f t="shared" si="1"/>
        <v>-4.2848570571257092</v>
      </c>
    </row>
    <row r="20" spans="1:3" x14ac:dyDescent="0.2">
      <c r="A20" s="1">
        <v>1.6</v>
      </c>
      <c r="B20" s="1">
        <f t="shared" si="0"/>
        <v>3.5999999999999992</v>
      </c>
      <c r="C20" s="1">
        <f t="shared" si="1"/>
        <v>-3.5999999999999992</v>
      </c>
    </row>
    <row r="21" spans="1:3" x14ac:dyDescent="0.2">
      <c r="A21" s="1">
        <v>1.8000000000000003</v>
      </c>
      <c r="B21" s="1">
        <f t="shared" si="0"/>
        <v>2.6153393661244024</v>
      </c>
      <c r="C21" s="1">
        <f t="shared" si="1"/>
        <v>-2.6153393661244024</v>
      </c>
    </row>
    <row r="22" spans="1:3" x14ac:dyDescent="0.2">
      <c r="A22" s="1">
        <v>2</v>
      </c>
      <c r="B22" s="1">
        <f t="shared" si="0"/>
        <v>0</v>
      </c>
      <c r="C22" s="1">
        <f t="shared" si="1"/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C58B-C74E-0248-A137-4D3643AE4716}">
  <dimension ref="A1"/>
  <sheetViews>
    <sheetView tabSelected="1" topLeftCell="B1" zoomScale="125" workbookViewId="0">
      <selection activeCell="J11" sqref="J1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Shidlovskaya</dc:creator>
  <cp:lastModifiedBy>Yana Shidlovskaya</cp:lastModifiedBy>
  <dcterms:created xsi:type="dcterms:W3CDTF">2025-11-17T06:49:35Z</dcterms:created>
  <dcterms:modified xsi:type="dcterms:W3CDTF">2026-03-13T15:27:24Z</dcterms:modified>
</cp:coreProperties>
</file>